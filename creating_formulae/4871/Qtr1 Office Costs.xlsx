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49\"/>
    </mc:Choice>
  </mc:AlternateContent>
  <xr:revisionPtr revIDLastSave="0" documentId="13_ncr:1_{DE2E0CBC-D7E0-4F9C-8FCF-60A949E03A01}" xr6:coauthVersionLast="47" xr6:coauthVersionMax="47" xr10:uidLastSave="{00000000-0000-0000-0000-000000000000}"/>
  <bookViews>
    <workbookView xWindow="-120" yWindow="-120" windowWidth="20730" windowHeight="11760" xr2:uid="{C8AA0860-214C-4211-8A2C-C2AA60E70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D6" i="1"/>
  <c r="C7" i="1"/>
  <c r="D7" i="1"/>
  <c r="B7" i="1"/>
  <c r="E3" i="1"/>
  <c r="E4" i="1"/>
  <c r="E5" i="1"/>
  <c r="E6" i="1"/>
  <c r="E2" i="1"/>
  <c r="C4" i="1"/>
  <c r="D4" i="1"/>
  <c r="B6" i="1"/>
  <c r="B4" i="1"/>
  <c r="E7" i="1" l="1"/>
</calcChain>
</file>

<file path=xl/sharedStrings.xml><?xml version="1.0" encoding="utf-8"?>
<sst xmlns="http://schemas.openxmlformats.org/spreadsheetml/2006/main" count="11" uniqueCount="11">
  <si>
    <t>Cost Item</t>
  </si>
  <si>
    <t>Admin costs</t>
  </si>
  <si>
    <t>Staff costs</t>
  </si>
  <si>
    <t>Stationery</t>
  </si>
  <si>
    <t>Advertising @ 1.75% of staff costs</t>
  </si>
  <si>
    <t>TOTAL</t>
  </si>
  <si>
    <t>Jan</t>
  </si>
  <si>
    <t>Feb</t>
  </si>
  <si>
    <t>Mar</t>
  </si>
  <si>
    <t>Qtr 1 total</t>
  </si>
  <si>
    <t>Services costs (@ ₤ 12.750 per annum)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</si>
</sst>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£-809]* #,##0_-;\-[$£-809]* #,##0_-;_-[$£-809]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875036-C891-4F01-B2A9-204F149D7890}" name="Table1" displayName="Table1" ref="A1:E7" totalsRowShown="0">
  <autoFilter ref="A1:E7" xr:uid="{B3875036-C891-4F01-B2A9-204F149D7890}"/>
  <tableColumns count="5">
    <tableColumn id="1" xr3:uid="{571C8FA0-827F-4F3D-9E7A-1AF8F6994761}" name="Cost Item"/>
    <tableColumn id="2" xr3:uid="{36B63E22-90CA-4E21-982F-0DC15DA0A516}" name="Jan" dataDxfId="3"/>
    <tableColumn id="3" xr3:uid="{786ACDB4-A092-4CEB-A277-038AAE1DC4FD}" name="Feb" dataDxfId="2"/>
    <tableColumn id="4" xr3:uid="{F4BA9883-06C1-4973-9F30-4AFD7D3F5A27}" name="Mar" dataDxfId="1"/>
    <tableColumn id="5" xr3:uid="{92735342-81AF-4187-8BF7-6E160A179EAE}" name="Qtr 1 total" dataDxfId="0">
      <calculatedColumnFormula>SUM(B2:D2)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B297-6766-44CC-ADC3-A160D977AD2F}">
  <dimension ref="A1:G7"/>
  <sheetViews>
    <sheetView tabSelected="1" workbookViewId="0">
      <selection activeCell="G9" sqref="G9"/>
    </sheetView>
  </sheetViews>
  <sheetFormatPr defaultRowHeight="15" x14ac:dyDescent="0.25"/>
  <cols>
    <col min="1" max="1" width="33" bestFit="1" customWidth="1"/>
    <col min="2" max="4" width="10.140625" bestFit="1" customWidth="1"/>
    <col min="5" max="5" width="12" customWidth="1"/>
    <col min="7" max="7" width="11.5703125" bestFit="1" customWidth="1"/>
  </cols>
  <sheetData>
    <row r="1" spans="1:7" x14ac:dyDescent="0.25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 spans="1:7" x14ac:dyDescent="0.25">
      <c r="A2" t="s">
        <v>1</v>
      </c>
      <c r="B2" s="1">
        <v>452</v>
      </c>
      <c r="C2" s="1">
        <v>514</v>
      </c>
      <c r="D2" s="1">
        <v>380</v>
      </c>
      <c r="E2" s="1">
        <f>SUM(B2:D2)</f>
        <v>1346</v>
      </c>
    </row>
    <row r="3" spans="1:7" x14ac:dyDescent="0.25">
      <c r="A3" t="s">
        <v>2</v>
      </c>
      <c r="B3" s="1">
        <v>125319</v>
      </c>
      <c r="C3" s="1">
        <v>119800</v>
      </c>
      <c r="D3" s="1">
        <v>132670</v>
      </c>
      <c r="E3" s="1">
        <f t="shared" ref="E3:E7" si="0">SUM(B3:D3)</f>
        <v>377789</v>
      </c>
    </row>
    <row r="4" spans="1:7" x14ac:dyDescent="0.25">
      <c r="A4" t="s">
        <v>10</v>
      </c>
      <c r="B4" s="1">
        <f>12750/12</f>
        <v>1062.5</v>
      </c>
      <c r="C4" s="1">
        <f t="shared" ref="C4:D4" si="1">12750/12</f>
        <v>1062.5</v>
      </c>
      <c r="D4" s="1">
        <f t="shared" si="1"/>
        <v>1062.5</v>
      </c>
      <c r="E4" s="1">
        <f t="shared" si="0"/>
        <v>3187.5</v>
      </c>
    </row>
    <row r="5" spans="1:7" x14ac:dyDescent="0.25">
      <c r="A5" t="s">
        <v>3</v>
      </c>
      <c r="B5" s="1">
        <v>1450</v>
      </c>
      <c r="C5" s="1">
        <v>976</v>
      </c>
      <c r="D5" s="1">
        <v>1685</v>
      </c>
      <c r="E5" s="1">
        <f t="shared" si="0"/>
        <v>4111</v>
      </c>
      <c r="G5" s="2"/>
    </row>
    <row r="6" spans="1:7" x14ac:dyDescent="0.25">
      <c r="A6" t="s">
        <v>4</v>
      </c>
      <c r="B6" s="1">
        <f>1.75%*B3</f>
        <v>2193.0825</v>
      </c>
      <c r="C6" s="1">
        <f t="shared" ref="C6:D6" si="2">1.75%*C3</f>
        <v>2096.5</v>
      </c>
      <c r="D6" s="1">
        <f t="shared" si="2"/>
        <v>2321.7250000000004</v>
      </c>
      <c r="E6" s="1">
        <f t="shared" si="0"/>
        <v>6611.3075000000008</v>
      </c>
    </row>
    <row r="7" spans="1:7" x14ac:dyDescent="0.25">
      <c r="A7" t="s">
        <v>5</v>
      </c>
      <c r="B7" s="1">
        <f>SUM(B2:B6)</f>
        <v>130476.5825</v>
      </c>
      <c r="C7" s="1">
        <f t="shared" ref="C7:D7" si="3">SUM(C2:C6)</f>
        <v>124449</v>
      </c>
      <c r="D7" s="1">
        <f t="shared" si="3"/>
        <v>138119.22500000001</v>
      </c>
      <c r="E7" s="1">
        <f t="shared" si="0"/>
        <v>393044.8075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2026-09-23T04:50:33Z</dcterms:created>
  <dcterms:modified xsi:type="dcterms:W3CDTF">2026-09-23T05:00:53Z</dcterms:modified>
</cp:coreProperties>
</file>