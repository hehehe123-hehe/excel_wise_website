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\qf-3864\"/>
    </mc:Choice>
  </mc:AlternateContent>
  <xr:revisionPtr revIDLastSave="0" documentId="8_{7E54B5AC-AE44-4A21-BCC6-ECDEEEA4946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STS">Inputs!$A$12:$R$15</definedName>
    <definedName name="CoverComp">Cover!$D$5</definedName>
    <definedName name="CoverStartYear">Cover!$D$13</definedName>
    <definedName name="CstHousingPrice">Inputs!$E$18</definedName>
    <definedName name="CstHousingRate">Inputs!$F$19:$O$19</definedName>
    <definedName name="CstLivingDaily">Inputs!$F$14:$O$14</definedName>
    <definedName name="CstLivingLoose">Inputs!$F$15:$O$15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Inputs!$F$9:$O$9</definedName>
    <definedName name="REVENIE">Inputs!$A$7:$R$9</definedName>
    <definedName name="REVENUE">Inputs!$A$7:$R$9</definedName>
    <definedName name="RevTouring">Inputs!$F$8:$O$8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2" l="1"/>
  <c r="R14" i="2"/>
  <c r="R9" i="2"/>
  <c r="F8" i="5" a="1"/>
  <c r="F7" i="5" a="1"/>
  <c r="D13" i="4"/>
  <c r="F3" i="2" l="1"/>
  <c r="G3" i="2" s="1"/>
  <c r="H3" i="2" s="1"/>
  <c r="I3" i="2" s="1"/>
  <c r="J3" i="2" s="1"/>
  <c r="K3" i="2" s="1"/>
  <c r="L3" i="2" s="1"/>
  <c r="M3" i="2" s="1"/>
  <c r="N3" i="2" s="1"/>
  <c r="O3" i="2" s="1"/>
  <c r="R8" i="2" l="1"/>
  <c r="F3" i="5"/>
  <c r="G3" i="5" s="1"/>
  <c r="H3" i="5" s="1"/>
  <c r="I3" i="5" s="1"/>
  <c r="J3" i="5" s="1"/>
  <c r="K3" i="5" s="1"/>
  <c r="L3" i="5" s="1"/>
  <c r="M3" i="5" s="1"/>
  <c r="N3" i="5" s="1"/>
  <c r="O3" i="5" s="1"/>
  <c r="F6" i="5" l="1" a="1"/>
  <c r="M9" i="5" l="1"/>
  <c r="I9" i="5"/>
  <c r="N9" i="5"/>
  <c r="L9" i="5"/>
  <c r="K9" i="5"/>
  <c r="J9" i="5"/>
  <c r="G9" i="5"/>
  <c r="H9" i="5"/>
  <c r="F9" i="5"/>
  <c r="O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<sst xmlns="http://schemas.openxmlformats.org/spreadsheetml/2006/main" count="51" uniqueCount="39">
  <si>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</si>
  <si>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</si>
  <si>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</si>
  <si>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</si>
  <si>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</si>
  <si>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</si>
  <si>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</si>
  <si>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</si>
  <si>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</si>
  <si>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</si>
  <si>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</si>
  <si>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</si>
  <si>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</si>
  <si>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</si>
  <si>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</si>
  <si>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</si>
  <si>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</si>
  <si>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</si>
  <si>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</si>
  <si>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</si>
  <si>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</si>
  <si>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</si>
  <si>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</si>
  <si>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</si>
  <si>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</si>
  <si>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</si>
  <si>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</si>
  <si>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</si>
  <si>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</si>
  <si>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</si>
  <si>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</si>
  <si>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</si>
  <si>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</si>
  <si>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</si>
  <si>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</si>
  <si>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</si>
  <si>
    <t>Total</t>
  </si>
  <si>
    <t>REVENUE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</si>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</sst>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8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0" fillId="0" borderId="0" xfId="0" applyAlignment="1">
      <alignment horizontal="right"/>
    </xf>
    <xf numFmtId="166" fontId="1" fillId="6" borderId="1" xfId="5" applyFill="1" applyAlignme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7" borderId="0" xfId="0" applyFont="1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66" fontId="1" fillId="6" borderId="13" xfId="5" applyFill="1" applyBorder="1" applyAlignment="1"/>
    <xf numFmtId="166" fontId="1" fillId="0" borderId="0" xfId="5" applyFill="1" applyBorder="1">
      <alignment horizontal="right" indent="1"/>
    </xf>
    <xf numFmtId="0" fontId="4" fillId="0" borderId="0" xfId="6" applyFill="1" applyBorder="1">
      <alignment horizontal="left" indent="1"/>
    </xf>
    <xf numFmtId="166" fontId="1" fillId="0" borderId="0" xfId="5" applyFill="1" applyBorder="1" applyAlignment="1"/>
    <xf numFmtId="166" fontId="1" fillId="5" borderId="1" xfId="5" applyBorder="1">
      <alignment horizontal="right" indent="1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1" sqref="D11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35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2:R1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R4" sqref="R4"/>
    </sheetView>
  </sheetViews>
  <sheetFormatPr defaultRowHeight="15" outlineLevelRow="2" outlineLevelCol="1" x14ac:dyDescent="0.25"/>
  <cols>
    <col min="2" max="2" width="20.42578125" style="17" customWidth="1"/>
    <col min="3" max="3" width="5.7109375" customWidth="1"/>
    <col min="4" max="4" width="9.140625" style="20"/>
    <col min="6" max="15" width="9.140625" hidden="1" customWidth="1" outlineLevel="1"/>
    <col min="16" max="16" width="14" style="19" hidden="1" customWidth="1" collapsed="1"/>
    <col min="17" max="17" width="2.7109375" customWidth="1"/>
  </cols>
  <sheetData>
    <row r="2" spans="1:18" x14ac:dyDescent="0.2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8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  <c r="R3" s="25" t="s">
        <v>36</v>
      </c>
    </row>
    <row r="4" spans="1:18" x14ac:dyDescent="0.25">
      <c r="F4" s="31"/>
      <c r="G4" s="31"/>
      <c r="H4" s="31"/>
      <c r="I4" s="31"/>
      <c r="J4" s="31"/>
      <c r="K4" s="31"/>
      <c r="L4" s="31"/>
      <c r="M4" s="31"/>
      <c r="N4" s="31"/>
      <c r="O4" s="31"/>
      <c r="R4" s="25"/>
    </row>
    <row r="5" spans="1:18" collapsed="1" x14ac:dyDescent="0.25">
      <c r="A5" s="30" t="s">
        <v>37</v>
      </c>
      <c r="F5" s="32"/>
      <c r="G5" s="31"/>
      <c r="H5" s="31"/>
      <c r="I5" s="31"/>
      <c r="J5" s="31"/>
      <c r="K5" s="31"/>
      <c r="L5" s="31"/>
      <c r="M5" s="31"/>
      <c r="N5" s="31"/>
      <c r="O5" s="31"/>
      <c r="R5" s="25"/>
    </row>
    <row r="6" spans="1:18" hidden="1" outlineLevel="1" x14ac:dyDescent="0.25">
      <c r="F6" s="31"/>
      <c r="G6" s="31"/>
      <c r="H6" s="31"/>
      <c r="I6" s="31"/>
      <c r="J6" s="31"/>
      <c r="K6" s="31"/>
      <c r="L6" s="31"/>
      <c r="M6" s="31"/>
      <c r="N6" s="31"/>
      <c r="O6" s="31"/>
      <c r="R6" s="25"/>
    </row>
    <row r="7" spans="1:18" hidden="1" outlineLevel="1" x14ac:dyDescent="0.25">
      <c r="A7" s="16" t="s">
        <v>10</v>
      </c>
    </row>
    <row r="8" spans="1:18" hidden="1" outlineLevel="2" x14ac:dyDescent="0.25">
      <c r="B8" s="17" t="s">
        <v>11</v>
      </c>
      <c r="D8" s="20" t="s">
        <v>12</v>
      </c>
      <c r="F8" s="37">
        <v>800</v>
      </c>
      <c r="G8" s="37">
        <v>600</v>
      </c>
      <c r="H8" s="37">
        <v>450</v>
      </c>
      <c r="I8" s="37">
        <v>337</v>
      </c>
      <c r="J8" s="37">
        <v>253</v>
      </c>
      <c r="K8" s="37">
        <v>190</v>
      </c>
      <c r="L8" s="37">
        <v>142</v>
      </c>
      <c r="M8" s="37">
        <v>106</v>
      </c>
      <c r="N8" s="37">
        <v>80</v>
      </c>
      <c r="O8" s="37">
        <v>60</v>
      </c>
      <c r="P8" s="19" t="s">
        <v>13</v>
      </c>
      <c r="R8" s="26">
        <f>SUM(RevTouring)</f>
        <v>3018</v>
      </c>
    </row>
    <row r="9" spans="1:18" hidden="1" outlineLevel="2" x14ac:dyDescent="0.25">
      <c r="B9" s="17" t="s">
        <v>14</v>
      </c>
      <c r="D9" s="20" t="s">
        <v>12</v>
      </c>
      <c r="F9" s="37">
        <v>900</v>
      </c>
      <c r="G9" s="37">
        <v>850</v>
      </c>
      <c r="H9" s="37">
        <v>800</v>
      </c>
      <c r="I9" s="37">
        <v>750</v>
      </c>
      <c r="J9" s="37">
        <v>700</v>
      </c>
      <c r="K9" s="37">
        <v>650</v>
      </c>
      <c r="L9" s="37">
        <v>600</v>
      </c>
      <c r="M9" s="37">
        <v>550</v>
      </c>
      <c r="N9" s="37">
        <v>500</v>
      </c>
      <c r="O9" s="37">
        <v>450</v>
      </c>
      <c r="P9" s="19" t="s">
        <v>15</v>
      </c>
      <c r="R9" s="33">
        <f>SUM(RevDownloads)</f>
        <v>6750</v>
      </c>
    </row>
    <row r="10" spans="1:18" x14ac:dyDescent="0.25"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  <c r="Q10" s="32"/>
      <c r="R10" s="36"/>
    </row>
    <row r="11" spans="1:18" collapsed="1" x14ac:dyDescent="0.25">
      <c r="A11" s="30" t="s">
        <v>38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  <c r="Q11" s="32"/>
      <c r="R11" s="36"/>
    </row>
    <row r="12" spans="1:18" hidden="1" outlineLevel="1" x14ac:dyDescent="0.25"/>
    <row r="13" spans="1:18" hidden="1" outlineLevel="1" x14ac:dyDescent="0.25">
      <c r="A13" s="16" t="s">
        <v>18</v>
      </c>
    </row>
    <row r="14" spans="1:18" hidden="1" outlineLevel="2" x14ac:dyDescent="0.25">
      <c r="B14" s="17" t="s">
        <v>16</v>
      </c>
      <c r="D14" s="20" t="s">
        <v>12</v>
      </c>
      <c r="F14" s="18">
        <v>-300</v>
      </c>
      <c r="G14" s="18">
        <v>-300</v>
      </c>
      <c r="H14" s="18">
        <v>-300</v>
      </c>
      <c r="I14" s="18">
        <v>-300</v>
      </c>
      <c r="J14" s="18">
        <v>-300</v>
      </c>
      <c r="K14" s="18">
        <v>-300</v>
      </c>
      <c r="L14" s="18">
        <v>-300</v>
      </c>
      <c r="M14" s="18">
        <v>-300</v>
      </c>
      <c r="N14" s="18">
        <v>-300</v>
      </c>
      <c r="O14" s="18">
        <v>-300</v>
      </c>
      <c r="P14" s="19" t="s">
        <v>22</v>
      </c>
      <c r="R14" s="26">
        <f>SUM(CstLivingDaily)</f>
        <v>-3000</v>
      </c>
    </row>
    <row r="15" spans="1:18" hidden="1" outlineLevel="2" x14ac:dyDescent="0.25">
      <c r="B15" s="17" t="s">
        <v>17</v>
      </c>
      <c r="D15" s="20" t="s">
        <v>12</v>
      </c>
      <c r="F15" s="18">
        <v>-200</v>
      </c>
      <c r="G15" s="18">
        <v>-200</v>
      </c>
      <c r="H15" s="18">
        <v>-200</v>
      </c>
      <c r="I15" s="18">
        <v>-200</v>
      </c>
      <c r="J15" s="18">
        <v>-200</v>
      </c>
      <c r="K15" s="18">
        <v>-200</v>
      </c>
      <c r="L15" s="18">
        <v>-200</v>
      </c>
      <c r="M15" s="18">
        <v>-200</v>
      </c>
      <c r="N15" s="18">
        <v>-200</v>
      </c>
      <c r="O15" s="18">
        <v>-200</v>
      </c>
      <c r="P15" s="19" t="s">
        <v>23</v>
      </c>
      <c r="R15" s="26">
        <f>SUM(CstLivingLoose)</f>
        <v>-2000</v>
      </c>
    </row>
    <row r="16" spans="1:18" hidden="1" outlineLevel="1" x14ac:dyDescent="0.25"/>
    <row r="17" spans="1:16" hidden="1" outlineLevel="1" x14ac:dyDescent="0.25">
      <c r="A17" s="16" t="s">
        <v>19</v>
      </c>
    </row>
    <row r="18" spans="1:16" hidden="1" outlineLevel="2" x14ac:dyDescent="0.25">
      <c r="B18" s="17" t="s">
        <v>20</v>
      </c>
      <c r="D18" s="20" t="s">
        <v>12</v>
      </c>
      <c r="E18" s="18">
        <v>-2000</v>
      </c>
      <c r="F18" s="19" t="s">
        <v>25</v>
      </c>
    </row>
    <row r="19" spans="1:16" hidden="1" outlineLevel="2" x14ac:dyDescent="0.25">
      <c r="B19" s="17" t="s">
        <v>24</v>
      </c>
      <c r="D19" s="20" t="s">
        <v>21</v>
      </c>
      <c r="F19" s="22">
        <v>0.04</v>
      </c>
      <c r="G19" s="22">
        <v>4.4999999999999998E-2</v>
      </c>
      <c r="H19" s="22">
        <v>0.05</v>
      </c>
      <c r="I19" s="22">
        <v>5.5E-2</v>
      </c>
      <c r="J19" s="22">
        <v>0.06</v>
      </c>
      <c r="K19" s="22">
        <v>6.5000000000000002E-2</v>
      </c>
      <c r="L19" s="22">
        <v>7.0000000000000007E-2</v>
      </c>
      <c r="M19" s="22">
        <v>7.4999999999999997E-2</v>
      </c>
      <c r="N19" s="22">
        <v>0.08</v>
      </c>
      <c r="O19" s="22">
        <v>8.5000000000000006E-2</v>
      </c>
      <c r="P19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G7" sqref="G7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30</v>
      </c>
    </row>
    <row r="6" spans="1:16" x14ac:dyDescent="0.2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2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2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2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25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Cover</vt:lpstr>
      <vt:lpstr>Inputs</vt:lpstr>
      <vt:lpstr>Calculations</vt:lpstr>
      <vt:lpstr>COSTS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REVENIE</vt:lpstr>
      <vt:lpstr>REVENUE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2026-09-24T04:00:09Z</dcterms:modified>
</cp:coreProperties>
</file>