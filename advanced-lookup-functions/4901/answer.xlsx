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675\"/>
    </mc:Choice>
  </mc:AlternateContent>
  <xr:revisionPtr revIDLastSave="0" documentId="8_{7FC7493A-C31C-4AF8-98C0-04617F5313D1}" xr6:coauthVersionLast="47" xr6:coauthVersionMax="47" xr10:uidLastSave="{00000000-0000-0000-0000-000000000000}"/>
  <bookViews>
    <workbookView xWindow="-120" yWindow="-120" windowWidth="20730" windowHeight="11760" activeTab="2" xr2:uid="{00000000-000D-0000-FFFF-FFFF00000000}"/>
  </bookViews>
  <sheets>
    <sheet name="Task 1" sheetId="3" r:id="rId1"/>
    <sheet name="Task 2" sheetId="2" r:id="rId2"/>
    <sheet name="Task 3" sheetId="1" r:id="rId3"/>
  </sheets>
  <definedNames>
    <definedName name="Airport" localSheetId="0">'Task 1'!$K$3</definedName>
    <definedName name="Airport" localSheetId="1">'Task 2'!$K$3</definedName>
    <definedName name="Airport">'Task 3'!$K$3</definedName>
    <definedName name="Airport_Pos_Num" localSheetId="0">'Task 1'!$K$6</definedName>
    <definedName name="Airport_Pos_Num" localSheetId="1">'Task 2'!$K$6</definedName>
    <definedName name="Airport_Pos_Num">'Task 3'!$K$6</definedName>
    <definedName name="Airports" localSheetId="0">'Task 1'!$A$4:$A$19</definedName>
    <definedName name="Airports" localSheetId="1">'Task 2'!$A$4:$A$19</definedName>
    <definedName name="Airports">'Task 3'!$A$4:$A$19</definedName>
    <definedName name="Day_Pos_Num" localSheetId="0">'Task 1'!$K$7</definedName>
    <definedName name="Day_Pos_Num" localSheetId="1">'Task 2'!$K$7</definedName>
    <definedName name="Day_Pos_Num">'Task 3'!$K$7</definedName>
    <definedName name="flight_day" localSheetId="0">'Task 1'!$K$4</definedName>
    <definedName name="flight_day" localSheetId="1">'Task 2'!$K$4</definedName>
    <definedName name="flight_day">'Task 3'!$K$4</definedName>
    <definedName name="time_table" localSheetId="0">'Task 1'!$B$4:$H$19</definedName>
    <definedName name="time_table" localSheetId="1">'Task 2'!$B$4:$H$19</definedName>
    <definedName name="time_table">'Task 3'!$B$4:$H$19</definedName>
    <definedName name="weekdays" localSheetId="0">'Task 1'!$B$3:$H$3</definedName>
    <definedName name="weekdays" localSheetId="1">'Task 2'!$B$3:$H$3</definedName>
    <definedName name="weekdays">'Task 3'!$B$3:$H$3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3" l="1"/>
  <c r="K7" i="3"/>
  <c r="K6" i="3"/>
  <c r="K9" i="3" s="1" a="1"/>
  <c r="K11" i="2"/>
  <c r="K7" i="2"/>
  <c r="K6" i="2"/>
  <c r="K11" i="1"/>
  <c r="K6" i="1"/>
  <c r="K7" i="1"/>
  <c r="K9" i="1" l="1" a="1"/>
  <c r="K9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<sst xmlns="http://schemas.openxmlformats.org/spreadsheetml/2006/main" count="102" uniqueCount="33">
  <si>
    <t>Edinburgh</t>
  </si>
  <si>
    <t>Aberdeen</t>
  </si>
  <si>
    <t>Carlisle</t>
  </si>
  <si>
    <t>Newcastle</t>
  </si>
  <si>
    <t>Leeds</t>
  </si>
  <si>
    <t>Blackpool</t>
  </si>
  <si>
    <t>Manchester</t>
  </si>
  <si>
    <t>Liverpool</t>
  </si>
  <si>
    <t>Caernarfon</t>
  </si>
  <si>
    <t>Cardiff</t>
  </si>
  <si>
    <t>Birmingham</t>
  </si>
  <si>
    <t>Norwich</t>
  </si>
  <si>
    <t>Bristol</t>
  </si>
  <si>
    <t>Newquay</t>
  </si>
  <si>
    <t>Exeter</t>
  </si>
  <si>
    <t>Dover</t>
  </si>
  <si>
    <t>Mon</t>
  </si>
  <si>
    <t>Tue</t>
  </si>
  <si>
    <t>Wed</t>
  </si>
  <si>
    <t>Thu</t>
  </si>
  <si>
    <t>Fri</t>
  </si>
  <si>
    <t>Sat</t>
  </si>
  <si>
    <t>Sun</t>
  </si>
  <si>
    <t>London Heathrow Early Business Shuttle TimeTable</t>
  </si>
  <si>
    <t>Departure Airport</t>
  </si>
  <si>
    <t>Day:</t>
  </si>
  <si>
    <t>Flight Time:</t>
  </si>
  <si>
    <t>Airport Pos Num:</t>
  </si>
  <si>
    <t>Day Pos Num:</t>
  </si>
  <si>
    <t>Airport:</t>
  </si>
  <si>
    <t xml:space="preserve">Nested Formula </t>
  </si>
  <si>
    <t>for flight time: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</si>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</sst>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F400]h:mm:ss\ AM/PM"/>
    <numFmt numFmtId="168" formatCode="[$-13809]hh:mm:ss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2" fillId="0" borderId="0" xfId="0" applyFont="1"/>
    <xf numFmtId="20" fontId="0" fillId="0" borderId="0" xfId="0" applyNumberFormat="1" applyAlignment="1">
      <alignment horizontal="center"/>
    </xf>
    <xf numFmtId="0" fontId="0" fillId="3" borderId="1" xfId="0" applyFill="1" applyBorder="1"/>
    <xf numFmtId="0" fontId="1" fillId="4" borderId="1" xfId="0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168" fontId="1" fillId="2" borderId="1" xfId="0" applyNumberFormat="1" applyFont="1" applyFill="1" applyBorder="1"/>
    <xf numFmtId="165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3"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84D5B-6443-42CE-8F8C-3B08D215678F}">
  <dimension ref="A1:K19"/>
  <sheetViews>
    <sheetView zoomScale="80" zoomScaleNormal="80" workbookViewId="0">
      <selection activeCell="F23" sqref="F23"/>
    </sheetView>
  </sheetViews>
  <sheetFormatPr defaultRowHeight="15" x14ac:dyDescent="0.25"/>
  <cols>
    <col min="1" max="1" width="15.7109375" customWidth="1"/>
    <col min="2" max="8" width="6.7109375" style="1" customWidth="1"/>
    <col min="9" max="9" width="3.42578125" customWidth="1"/>
    <col min="10" max="10" width="17.42578125" bestFit="1" customWidth="1"/>
  </cols>
  <sheetData>
    <row r="1" spans="1:11" ht="18.75" x14ac:dyDescent="0.3">
      <c r="A1" s="4" t="s">
        <v>23</v>
      </c>
    </row>
    <row r="3" spans="1:11" x14ac:dyDescent="0.25">
      <c r="A3" s="8" t="s">
        <v>24</v>
      </c>
      <c r="B3" s="9" t="s">
        <v>16</v>
      </c>
      <c r="C3" s="9" t="s">
        <v>17</v>
      </c>
      <c r="D3" s="9" t="s">
        <v>18</v>
      </c>
      <c r="E3" s="9" t="s">
        <v>19</v>
      </c>
      <c r="F3" s="9" t="s">
        <v>20</v>
      </c>
      <c r="G3" s="9" t="s">
        <v>21</v>
      </c>
      <c r="H3" s="9" t="s">
        <v>22</v>
      </c>
      <c r="J3" s="10" t="s">
        <v>29</v>
      </c>
      <c r="K3" s="7" t="s">
        <v>15</v>
      </c>
    </row>
    <row r="4" spans="1:11" x14ac:dyDescent="0.25">
      <c r="A4" s="8" t="s">
        <v>1</v>
      </c>
      <c r="B4" s="3">
        <v>0.22916666666666666</v>
      </c>
      <c r="C4" s="3">
        <v>0.22916666666666666</v>
      </c>
      <c r="D4" s="3"/>
      <c r="E4" s="2"/>
      <c r="F4" s="3">
        <v>0.21875</v>
      </c>
      <c r="G4" s="2"/>
      <c r="H4" s="2"/>
      <c r="J4" t="s">
        <v>25</v>
      </c>
      <c r="K4" s="7" t="s">
        <v>18</v>
      </c>
    </row>
    <row r="5" spans="1:11" x14ac:dyDescent="0.25">
      <c r="A5" s="8" t="s">
        <v>10</v>
      </c>
      <c r="B5" s="3">
        <v>0.28125</v>
      </c>
      <c r="C5" s="3">
        <v>0.28125</v>
      </c>
      <c r="D5" s="3">
        <v>0.28125</v>
      </c>
      <c r="E5" s="2"/>
      <c r="F5" s="3">
        <v>0.28125</v>
      </c>
      <c r="G5" s="3">
        <v>0.3125</v>
      </c>
      <c r="H5" s="3">
        <v>0.30902777777777779</v>
      </c>
    </row>
    <row r="6" spans="1:11" x14ac:dyDescent="0.25">
      <c r="A6" s="8" t="s">
        <v>5</v>
      </c>
      <c r="B6" s="3">
        <v>0.25694444444444448</v>
      </c>
      <c r="C6" s="3"/>
      <c r="D6" s="3">
        <v>0.25694444444444448</v>
      </c>
      <c r="E6" s="2"/>
      <c r="F6" s="3">
        <v>0.25694444444444448</v>
      </c>
      <c r="G6" s="2"/>
      <c r="H6" s="2"/>
      <c r="J6" t="s">
        <v>27</v>
      </c>
      <c r="K6" s="6">
        <f>MATCH(Airport,Airports,0)</f>
        <v>8</v>
      </c>
    </row>
    <row r="7" spans="1:11" x14ac:dyDescent="0.25">
      <c r="A7" s="8" t="s">
        <v>12</v>
      </c>
      <c r="B7" s="3">
        <v>0.28472222222222221</v>
      </c>
      <c r="C7" s="3">
        <v>0.28472222222222221</v>
      </c>
      <c r="D7" s="3">
        <v>0.28472222222222221</v>
      </c>
      <c r="E7" s="2"/>
      <c r="F7" s="3">
        <v>0.27430555555555552</v>
      </c>
      <c r="G7" s="3">
        <v>0.30208333333333331</v>
      </c>
      <c r="H7" s="3">
        <v>0.30902777777777779</v>
      </c>
      <c r="J7" t="s">
        <v>28</v>
      </c>
      <c r="K7" s="6">
        <f>MATCH(flight_day,weekdays,0)</f>
        <v>3</v>
      </c>
    </row>
    <row r="8" spans="1:11" x14ac:dyDescent="0.25">
      <c r="A8" s="8" t="s">
        <v>8</v>
      </c>
      <c r="B8" s="3">
        <v>0.24305555555555555</v>
      </c>
      <c r="C8" s="3"/>
      <c r="D8" s="3"/>
      <c r="E8" s="3">
        <v>0.24305555555555555</v>
      </c>
      <c r="F8" s="5">
        <v>0.23263888888888887</v>
      </c>
      <c r="G8" s="2"/>
      <c r="H8" s="2"/>
    </row>
    <row r="9" spans="1:11" x14ac:dyDescent="0.25">
      <c r="A9" s="8" t="s">
        <v>9</v>
      </c>
      <c r="B9" s="3">
        <v>0.26041666666666669</v>
      </c>
      <c r="C9" s="3">
        <v>0.26041666666666669</v>
      </c>
      <c r="D9" s="3">
        <v>0.26041666666666669</v>
      </c>
      <c r="E9" s="2"/>
      <c r="F9" s="3">
        <v>0.26041666666666669</v>
      </c>
      <c r="G9" s="3">
        <v>0.29166666666666669</v>
      </c>
      <c r="H9" s="2"/>
      <c r="J9" t="s">
        <v>26</v>
      </c>
      <c r="K9" s="11" cm="1">
        <f t="array" ref="K9">INDEX(time_table,Airport_Pos_Num,Day_Pos_Num)</f>
        <v>0.25</v>
      </c>
    </row>
    <row r="10" spans="1:11" x14ac:dyDescent="0.25">
      <c r="A10" s="8" t="s">
        <v>2</v>
      </c>
      <c r="B10" s="3">
        <v>0.23263888888888887</v>
      </c>
      <c r="C10" s="3"/>
      <c r="D10" s="3">
        <v>0.23263888888888887</v>
      </c>
      <c r="E10" s="2"/>
      <c r="F10" s="3">
        <v>0.23263888888888887</v>
      </c>
      <c r="G10" s="2"/>
      <c r="H10" s="2"/>
    </row>
    <row r="11" spans="1:11" x14ac:dyDescent="0.25">
      <c r="A11" s="8" t="s">
        <v>15</v>
      </c>
      <c r="B11" s="3">
        <v>0.27430555555555552</v>
      </c>
      <c r="C11" s="3">
        <v>0.27430555555555552</v>
      </c>
      <c r="D11" s="3">
        <v>0.25</v>
      </c>
      <c r="E11" s="2"/>
      <c r="F11" s="3">
        <v>0.2638888888888889</v>
      </c>
      <c r="G11" s="2"/>
      <c r="H11" s="2"/>
      <c r="J11" t="s">
        <v>30</v>
      </c>
      <c r="K11" s="12">
        <f>INDEX(time_table,MATCH(Airport,Airports,0),MATCH(flight_day,weekdays,0))</f>
        <v>0.25</v>
      </c>
    </row>
    <row r="12" spans="1:11" x14ac:dyDescent="0.25">
      <c r="A12" s="8" t="s">
        <v>0</v>
      </c>
      <c r="B12" s="3">
        <v>0.22569444444444445</v>
      </c>
      <c r="C12" s="3">
        <v>0.22569444444444445</v>
      </c>
      <c r="D12" s="3">
        <v>0.22569444444444445</v>
      </c>
      <c r="E12" s="2"/>
      <c r="F12" s="3">
        <v>0.20833333333333334</v>
      </c>
      <c r="G12" s="3">
        <v>0.2986111111111111</v>
      </c>
      <c r="H12" s="3">
        <v>0.3125</v>
      </c>
      <c r="J12" t="s">
        <v>31</v>
      </c>
      <c r="K12" s="12"/>
    </row>
    <row r="13" spans="1:11" x14ac:dyDescent="0.25">
      <c r="A13" s="8" t="s">
        <v>14</v>
      </c>
      <c r="B13" s="3">
        <v>0.2673611111111111</v>
      </c>
      <c r="C13" s="3">
        <v>0.2673611111111111</v>
      </c>
      <c r="D13" s="3">
        <v>0.2673611111111111</v>
      </c>
      <c r="E13" s="2"/>
      <c r="F13" s="3">
        <v>0.23611111111111113</v>
      </c>
      <c r="G13" s="2"/>
      <c r="H13" s="2"/>
    </row>
    <row r="14" spans="1:11" x14ac:dyDescent="0.25">
      <c r="A14" s="8" t="s">
        <v>4</v>
      </c>
      <c r="B14" s="3">
        <v>0.24652777777777779</v>
      </c>
      <c r="C14" s="3"/>
      <c r="D14" s="3">
        <v>0.24652777777777779</v>
      </c>
      <c r="E14" s="2"/>
      <c r="F14" s="3">
        <v>0.24652777777777779</v>
      </c>
      <c r="G14" s="2"/>
      <c r="H14" s="2"/>
    </row>
    <row r="15" spans="1:11" x14ac:dyDescent="0.25">
      <c r="A15" s="8" t="s">
        <v>7</v>
      </c>
      <c r="B15" s="3">
        <v>0.25347222222222221</v>
      </c>
      <c r="C15" s="3">
        <v>0.25347222222222221</v>
      </c>
      <c r="D15" s="3">
        <v>0.25347222222222221</v>
      </c>
      <c r="E15" s="2"/>
      <c r="F15" s="3">
        <v>0.25347222222222221</v>
      </c>
      <c r="G15" s="3">
        <v>0.28125</v>
      </c>
      <c r="H15" s="2"/>
    </row>
    <row r="16" spans="1:11" x14ac:dyDescent="0.25">
      <c r="A16" s="8" t="s">
        <v>6</v>
      </c>
      <c r="B16" s="3">
        <v>0.26041666666666669</v>
      </c>
      <c r="C16" s="3">
        <v>0.26041666666666669</v>
      </c>
      <c r="D16" s="3">
        <v>0.26041666666666669</v>
      </c>
      <c r="E16" s="2"/>
      <c r="F16" s="3">
        <v>0.25347222222222221</v>
      </c>
      <c r="G16" s="3">
        <v>0.2638888888888889</v>
      </c>
      <c r="H16" s="3">
        <v>0.2986111111111111</v>
      </c>
    </row>
    <row r="17" spans="1:8" x14ac:dyDescent="0.25">
      <c r="A17" s="8" t="s">
        <v>3</v>
      </c>
      <c r="B17" s="3">
        <v>0.24305555555555555</v>
      </c>
      <c r="C17" s="3">
        <v>0.24305555555555555</v>
      </c>
      <c r="D17" s="3"/>
      <c r="E17" s="2"/>
      <c r="F17" s="3">
        <v>0.21527777777777779</v>
      </c>
      <c r="G17" s="2"/>
      <c r="H17" s="2"/>
    </row>
    <row r="18" spans="1:8" x14ac:dyDescent="0.25">
      <c r="A18" s="8" t="s">
        <v>13</v>
      </c>
      <c r="B18" s="3">
        <v>0.26041666666666669</v>
      </c>
      <c r="C18" s="3">
        <v>0.26041666666666669</v>
      </c>
      <c r="D18" s="3">
        <v>0.26041666666666669</v>
      </c>
      <c r="E18" s="2"/>
      <c r="F18" s="3">
        <v>0.25</v>
      </c>
      <c r="G18" s="2"/>
      <c r="H18" s="2"/>
    </row>
    <row r="19" spans="1:8" x14ac:dyDescent="0.25">
      <c r="A19" s="8" t="s">
        <v>11</v>
      </c>
      <c r="B19" s="3">
        <v>0.2673611111111111</v>
      </c>
      <c r="C19" s="3"/>
      <c r="D19" s="3">
        <v>0.2673611111111111</v>
      </c>
      <c r="E19" s="2"/>
      <c r="F19" s="3">
        <v>0.26041666666666669</v>
      </c>
      <c r="G19" s="2"/>
      <c r="H19" s="2"/>
    </row>
  </sheetData>
  <mergeCells count="1">
    <mergeCell ref="K11:K12"/>
  </mergeCells>
  <conditionalFormatting sqref="B4:H19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ADA17-9574-4B5F-8661-BE2E47D6058B}">
  <dimension ref="A1:K19"/>
  <sheetViews>
    <sheetView zoomScale="80" zoomScaleNormal="80" workbookViewId="0">
      <selection activeCell="K5" sqref="K5"/>
    </sheetView>
  </sheetViews>
  <sheetFormatPr defaultRowHeight="15" x14ac:dyDescent="0.25"/>
  <cols>
    <col min="1" max="1" width="15.7109375" customWidth="1"/>
    <col min="2" max="8" width="6.7109375" style="1" customWidth="1"/>
    <col min="9" max="9" width="3.42578125" customWidth="1"/>
    <col min="10" max="10" width="17.42578125" bestFit="1" customWidth="1"/>
  </cols>
  <sheetData>
    <row r="1" spans="1:11" ht="18.75" x14ac:dyDescent="0.3">
      <c r="A1" s="4" t="s">
        <v>23</v>
      </c>
    </row>
    <row r="3" spans="1:11" x14ac:dyDescent="0.25">
      <c r="A3" s="8" t="s">
        <v>24</v>
      </c>
      <c r="B3" s="9" t="s">
        <v>16</v>
      </c>
      <c r="C3" s="9" t="s">
        <v>17</v>
      </c>
      <c r="D3" s="9" t="s">
        <v>18</v>
      </c>
      <c r="E3" s="9" t="s">
        <v>19</v>
      </c>
      <c r="F3" s="9" t="s">
        <v>20</v>
      </c>
      <c r="G3" s="9" t="s">
        <v>21</v>
      </c>
      <c r="H3" s="9" t="s">
        <v>22</v>
      </c>
      <c r="J3" s="10" t="s">
        <v>29</v>
      </c>
      <c r="K3" s="7" t="s">
        <v>4</v>
      </c>
    </row>
    <row r="4" spans="1:11" x14ac:dyDescent="0.25">
      <c r="A4" s="8" t="s">
        <v>1</v>
      </c>
      <c r="B4" s="3">
        <v>0.22916666666666666</v>
      </c>
      <c r="C4" s="3">
        <v>0.22916666666666666</v>
      </c>
      <c r="D4" s="3"/>
      <c r="E4" s="2"/>
      <c r="F4" s="3">
        <v>0.21875</v>
      </c>
      <c r="G4" s="2"/>
      <c r="H4" s="2"/>
      <c r="J4" t="s">
        <v>25</v>
      </c>
      <c r="K4" s="7" t="s">
        <v>20</v>
      </c>
    </row>
    <row r="5" spans="1:11" x14ac:dyDescent="0.25">
      <c r="A5" s="8" t="s">
        <v>10</v>
      </c>
      <c r="B5" s="3">
        <v>0.28125</v>
      </c>
      <c r="C5" s="3">
        <v>0.28125</v>
      </c>
      <c r="D5" s="3">
        <v>0.28125</v>
      </c>
      <c r="E5" s="2"/>
      <c r="F5" s="3">
        <v>0.28125</v>
      </c>
      <c r="G5" s="3">
        <v>0.3125</v>
      </c>
      <c r="H5" s="3">
        <v>0.30902777777777779</v>
      </c>
    </row>
    <row r="6" spans="1:11" x14ac:dyDescent="0.25">
      <c r="A6" s="8" t="s">
        <v>5</v>
      </c>
      <c r="B6" s="3">
        <v>0.25694444444444448</v>
      </c>
      <c r="C6" s="3"/>
      <c r="D6" s="3">
        <v>0.25694444444444448</v>
      </c>
      <c r="E6" s="2"/>
      <c r="F6" s="3">
        <v>0.25694444444444448</v>
      </c>
      <c r="G6" s="2"/>
      <c r="H6" s="2"/>
      <c r="J6" t="s">
        <v>27</v>
      </c>
      <c r="K6" s="6">
        <f>MATCH(Airport,Airports,0)</f>
        <v>11</v>
      </c>
    </row>
    <row r="7" spans="1:11" x14ac:dyDescent="0.25">
      <c r="A7" s="8" t="s">
        <v>12</v>
      </c>
      <c r="B7" s="3">
        <v>0.28472222222222221</v>
      </c>
      <c r="C7" s="3">
        <v>0.28472222222222221</v>
      </c>
      <c r="D7" s="3">
        <v>0.28472222222222221</v>
      </c>
      <c r="E7" s="2"/>
      <c r="F7" s="3">
        <v>0.27430555555555552</v>
      </c>
      <c r="G7" s="3">
        <v>0.30208333333333331</v>
      </c>
      <c r="H7" s="3">
        <v>0.30902777777777779</v>
      </c>
      <c r="J7" t="s">
        <v>28</v>
      </c>
      <c r="K7" s="6">
        <f>MATCH(flight_day,weekdays,0)</f>
        <v>5</v>
      </c>
    </row>
    <row r="8" spans="1:11" x14ac:dyDescent="0.25">
      <c r="A8" s="8" t="s">
        <v>8</v>
      </c>
      <c r="B8" s="3">
        <v>0.24305555555555555</v>
      </c>
      <c r="C8" s="3"/>
      <c r="D8" s="3"/>
      <c r="E8" s="3">
        <v>0.24305555555555555</v>
      </c>
      <c r="F8" s="5">
        <v>0.23263888888888887</v>
      </c>
      <c r="G8" s="2"/>
      <c r="H8" s="2"/>
    </row>
    <row r="9" spans="1:11" x14ac:dyDescent="0.25">
      <c r="A9" s="8" t="s">
        <v>9</v>
      </c>
      <c r="B9" s="3">
        <v>0.26041666666666669</v>
      </c>
      <c r="C9" s="3">
        <v>0.26041666666666669</v>
      </c>
      <c r="D9" s="3">
        <v>0.26041666666666669</v>
      </c>
      <c r="E9" s="2"/>
      <c r="F9" s="3">
        <v>0.26041666666666669</v>
      </c>
      <c r="G9" s="3">
        <v>0.29166666666666669</v>
      </c>
      <c r="H9" s="2"/>
      <c r="J9" t="s">
        <v>26</v>
      </c>
      <c r="K9" s="11" cm="1">
        <f t="array" ref="K9">INDEX(time_table,Airport_Pos_Num,Day_Pos_Num)</f>
        <v>0.24652777777777779</v>
      </c>
    </row>
    <row r="10" spans="1:11" x14ac:dyDescent="0.25">
      <c r="A10" s="8" t="s">
        <v>2</v>
      </c>
      <c r="B10" s="3">
        <v>0.23263888888888887</v>
      </c>
      <c r="C10" s="3"/>
      <c r="D10" s="3">
        <v>0.23263888888888887</v>
      </c>
      <c r="E10" s="2"/>
      <c r="F10" s="3">
        <v>0.23263888888888887</v>
      </c>
      <c r="G10" s="2"/>
      <c r="H10" s="2"/>
    </row>
    <row r="11" spans="1:11" x14ac:dyDescent="0.25">
      <c r="A11" s="8" t="s">
        <v>15</v>
      </c>
      <c r="B11" s="3">
        <v>0.27430555555555552</v>
      </c>
      <c r="C11" s="3">
        <v>0.27430555555555552</v>
      </c>
      <c r="D11" s="3">
        <v>0.25</v>
      </c>
      <c r="E11" s="2"/>
      <c r="F11" s="3">
        <v>0.2638888888888889</v>
      </c>
      <c r="G11" s="2"/>
      <c r="H11" s="2"/>
      <c r="J11" t="s">
        <v>30</v>
      </c>
      <c r="K11" s="12">
        <f>INDEX(time_table,MATCH(Airport,Airports,0),MATCH(flight_day,weekdays,0))</f>
        <v>0.24652777777777779</v>
      </c>
    </row>
    <row r="12" spans="1:11" x14ac:dyDescent="0.25">
      <c r="A12" s="8" t="s">
        <v>0</v>
      </c>
      <c r="B12" s="3">
        <v>0.22569444444444445</v>
      </c>
      <c r="C12" s="3">
        <v>0.22569444444444445</v>
      </c>
      <c r="D12" s="3">
        <v>0.22569444444444445</v>
      </c>
      <c r="E12" s="2"/>
      <c r="F12" s="3">
        <v>0.20833333333333334</v>
      </c>
      <c r="G12" s="3">
        <v>0.2986111111111111</v>
      </c>
      <c r="H12" s="3">
        <v>0.3125</v>
      </c>
      <c r="J12" t="s">
        <v>31</v>
      </c>
      <c r="K12" s="12"/>
    </row>
    <row r="13" spans="1:11" x14ac:dyDescent="0.25">
      <c r="A13" s="8" t="s">
        <v>14</v>
      </c>
      <c r="B13" s="3">
        <v>0.2673611111111111</v>
      </c>
      <c r="C13" s="3">
        <v>0.2673611111111111</v>
      </c>
      <c r="D13" s="3">
        <v>0.2673611111111111</v>
      </c>
      <c r="E13" s="2"/>
      <c r="F13" s="3">
        <v>0.23611111111111113</v>
      </c>
      <c r="G13" s="2"/>
      <c r="H13" s="2"/>
    </row>
    <row r="14" spans="1:11" x14ac:dyDescent="0.25">
      <c r="A14" s="8" t="s">
        <v>4</v>
      </c>
      <c r="B14" s="3">
        <v>0.24652777777777779</v>
      </c>
      <c r="C14" s="3"/>
      <c r="D14" s="3">
        <v>0.24652777777777779</v>
      </c>
      <c r="E14" s="2"/>
      <c r="F14" s="3">
        <v>0.24652777777777779</v>
      </c>
      <c r="G14" s="2"/>
      <c r="H14" s="2"/>
    </row>
    <row r="15" spans="1:11" x14ac:dyDescent="0.25">
      <c r="A15" s="8" t="s">
        <v>7</v>
      </c>
      <c r="B15" s="3">
        <v>0.25347222222222221</v>
      </c>
      <c r="C15" s="3">
        <v>0.25347222222222221</v>
      </c>
      <c r="D15" s="3">
        <v>0.25347222222222221</v>
      </c>
      <c r="E15" s="2"/>
      <c r="F15" s="3">
        <v>0.25347222222222221</v>
      </c>
      <c r="G15" s="3">
        <v>0.28125</v>
      </c>
      <c r="H15" s="2"/>
    </row>
    <row r="16" spans="1:11" x14ac:dyDescent="0.25">
      <c r="A16" s="8" t="s">
        <v>6</v>
      </c>
      <c r="B16" s="3">
        <v>0.26041666666666669</v>
      </c>
      <c r="C16" s="3">
        <v>0.26041666666666669</v>
      </c>
      <c r="D16" s="3">
        <v>0.26041666666666669</v>
      </c>
      <c r="E16" s="2"/>
      <c r="F16" s="3">
        <v>0.25347222222222221</v>
      </c>
      <c r="G16" s="3">
        <v>0.2638888888888889</v>
      </c>
      <c r="H16" s="3">
        <v>0.2986111111111111</v>
      </c>
    </row>
    <row r="17" spans="1:8" x14ac:dyDescent="0.25">
      <c r="A17" s="8" t="s">
        <v>3</v>
      </c>
      <c r="B17" s="3">
        <v>0.24305555555555555</v>
      </c>
      <c r="C17" s="3">
        <v>0.24305555555555555</v>
      </c>
      <c r="D17" s="3"/>
      <c r="E17" s="2"/>
      <c r="F17" s="3">
        <v>0.21527777777777779</v>
      </c>
      <c r="G17" s="2"/>
      <c r="H17" s="2"/>
    </row>
    <row r="18" spans="1:8" x14ac:dyDescent="0.25">
      <c r="A18" s="8" t="s">
        <v>13</v>
      </c>
      <c r="B18" s="3">
        <v>0.26041666666666669</v>
      </c>
      <c r="C18" s="3">
        <v>0.26041666666666669</v>
      </c>
      <c r="D18" s="3">
        <v>0.26041666666666669</v>
      </c>
      <c r="E18" s="2"/>
      <c r="F18" s="3">
        <v>0.25</v>
      </c>
      <c r="G18" s="2"/>
      <c r="H18" s="2"/>
    </row>
    <row r="19" spans="1:8" x14ac:dyDescent="0.25">
      <c r="A19" s="8" t="s">
        <v>11</v>
      </c>
      <c r="B19" s="3">
        <v>0.2673611111111111</v>
      </c>
      <c r="C19" s="3"/>
      <c r="D19" s="3">
        <v>0.2673611111111111</v>
      </c>
      <c r="E19" s="2"/>
      <c r="F19" s="3">
        <v>0.26041666666666669</v>
      </c>
      <c r="G19" s="2"/>
      <c r="H19" s="2"/>
    </row>
  </sheetData>
  <mergeCells count="1">
    <mergeCell ref="K11:K12"/>
  </mergeCells>
  <conditionalFormatting sqref="B4:H19">
    <cfRule type="cellIs" dxfId="1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zoomScale="80" zoomScaleNormal="80" workbookViewId="0">
      <selection activeCell="K5" sqref="K5"/>
    </sheetView>
  </sheetViews>
  <sheetFormatPr defaultRowHeight="15" x14ac:dyDescent="0.25"/>
  <cols>
    <col min="1" max="1" width="15.7109375" customWidth="1"/>
    <col min="2" max="8" width="6.7109375" style="1" customWidth="1"/>
    <col min="9" max="9" width="3.42578125" customWidth="1"/>
    <col min="10" max="10" width="17.42578125" bestFit="1" customWidth="1"/>
  </cols>
  <sheetData>
    <row r="1" spans="1:11" ht="18.75" x14ac:dyDescent="0.3">
      <c r="A1" s="4" t="s">
        <v>23</v>
      </c>
    </row>
    <row r="3" spans="1:11" x14ac:dyDescent="0.25">
      <c r="A3" s="8" t="s">
        <v>24</v>
      </c>
      <c r="B3" s="9" t="s">
        <v>16</v>
      </c>
      <c r="C3" s="9" t="s">
        <v>17</v>
      </c>
      <c r="D3" s="9" t="s">
        <v>18</v>
      </c>
      <c r="E3" s="9" t="s">
        <v>19</v>
      </c>
      <c r="F3" s="9" t="s">
        <v>20</v>
      </c>
      <c r="G3" s="9" t="s">
        <v>21</v>
      </c>
      <c r="H3" s="9" t="s">
        <v>22</v>
      </c>
      <c r="J3" s="10" t="s">
        <v>29</v>
      </c>
      <c r="K3" s="7" t="s">
        <v>10</v>
      </c>
    </row>
    <row r="4" spans="1:11" x14ac:dyDescent="0.25">
      <c r="A4" s="8" t="s">
        <v>1</v>
      </c>
      <c r="B4" s="3">
        <v>0.22916666666666666</v>
      </c>
      <c r="C4" s="3">
        <v>0.22916666666666666</v>
      </c>
      <c r="D4" s="3"/>
      <c r="E4" s="2"/>
      <c r="F4" s="3">
        <v>0.21875</v>
      </c>
      <c r="G4" s="2"/>
      <c r="H4" s="2"/>
      <c r="J4" t="s">
        <v>25</v>
      </c>
      <c r="K4" s="7" t="s">
        <v>32</v>
      </c>
    </row>
    <row r="5" spans="1:11" x14ac:dyDescent="0.25">
      <c r="A5" s="8" t="s">
        <v>10</v>
      </c>
      <c r="B5" s="3">
        <v>0.28125</v>
      </c>
      <c r="C5" s="3">
        <v>0.28125</v>
      </c>
      <c r="D5" s="3">
        <v>0.28125</v>
      </c>
      <c r="E5" s="2"/>
      <c r="F5" s="3">
        <v>0.28125</v>
      </c>
      <c r="G5" s="3">
        <v>0.3125</v>
      </c>
      <c r="H5" s="3">
        <v>0.30902777777777779</v>
      </c>
    </row>
    <row r="6" spans="1:11" x14ac:dyDescent="0.25">
      <c r="A6" s="8" t="s">
        <v>5</v>
      </c>
      <c r="B6" s="3">
        <v>0.25694444444444448</v>
      </c>
      <c r="C6" s="3"/>
      <c r="D6" s="3">
        <v>0.25694444444444448</v>
      </c>
      <c r="E6" s="2"/>
      <c r="F6" s="3">
        <v>0.25694444444444448</v>
      </c>
      <c r="G6" s="2"/>
      <c r="H6" s="2"/>
      <c r="J6" t="s">
        <v>27</v>
      </c>
      <c r="K6" s="6">
        <f>MATCH(Airport,Airports,0)</f>
        <v>2</v>
      </c>
    </row>
    <row r="7" spans="1:11" x14ac:dyDescent="0.25">
      <c r="A7" s="8" t="s">
        <v>12</v>
      </c>
      <c r="B7" s="3">
        <v>0.28472222222222221</v>
      </c>
      <c r="C7" s="3">
        <v>0.28472222222222221</v>
      </c>
      <c r="D7" s="3">
        <v>0.28472222222222221</v>
      </c>
      <c r="E7" s="2"/>
      <c r="F7" s="3">
        <v>0.27430555555555552</v>
      </c>
      <c r="G7" s="3">
        <v>0.30208333333333331</v>
      </c>
      <c r="H7" s="3">
        <v>0.30902777777777779</v>
      </c>
      <c r="J7" t="s">
        <v>28</v>
      </c>
      <c r="K7" s="6">
        <f>MATCH(flight_day,weekdays,0)</f>
        <v>7</v>
      </c>
    </row>
    <row r="8" spans="1:11" x14ac:dyDescent="0.25">
      <c r="A8" s="8" t="s">
        <v>8</v>
      </c>
      <c r="B8" s="3">
        <v>0.24305555555555555</v>
      </c>
      <c r="C8" s="3"/>
      <c r="D8" s="3"/>
      <c r="E8" s="3">
        <v>0.24305555555555555</v>
      </c>
      <c r="F8" s="5">
        <v>0.23263888888888887</v>
      </c>
      <c r="G8" s="2"/>
      <c r="H8" s="2"/>
    </row>
    <row r="9" spans="1:11" x14ac:dyDescent="0.25">
      <c r="A9" s="8" t="s">
        <v>9</v>
      </c>
      <c r="B9" s="3">
        <v>0.26041666666666669</v>
      </c>
      <c r="C9" s="3">
        <v>0.26041666666666669</v>
      </c>
      <c r="D9" s="3">
        <v>0.26041666666666669</v>
      </c>
      <c r="E9" s="2"/>
      <c r="F9" s="3">
        <v>0.26041666666666669</v>
      </c>
      <c r="G9" s="3">
        <v>0.29166666666666669</v>
      </c>
      <c r="H9" s="2"/>
      <c r="J9" t="s">
        <v>26</v>
      </c>
      <c r="K9" s="11" cm="1">
        <f t="array" ref="K9">INDEX(time_table,Airport_Pos_Num,Day_Pos_Num)</f>
        <v>0.30902777777777779</v>
      </c>
    </row>
    <row r="10" spans="1:11" x14ac:dyDescent="0.25">
      <c r="A10" s="8" t="s">
        <v>2</v>
      </c>
      <c r="B10" s="3">
        <v>0.23263888888888887</v>
      </c>
      <c r="C10" s="3"/>
      <c r="D10" s="3">
        <v>0.23263888888888887</v>
      </c>
      <c r="E10" s="2"/>
      <c r="F10" s="3">
        <v>0.23263888888888887</v>
      </c>
      <c r="G10" s="2"/>
      <c r="H10" s="2"/>
    </row>
    <row r="11" spans="1:11" x14ac:dyDescent="0.25">
      <c r="A11" s="8" t="s">
        <v>15</v>
      </c>
      <c r="B11" s="3">
        <v>0.27430555555555552</v>
      </c>
      <c r="C11" s="3">
        <v>0.27430555555555552</v>
      </c>
      <c r="D11" s="3">
        <v>0.25</v>
      </c>
      <c r="E11" s="2"/>
      <c r="F11" s="3">
        <v>0.2638888888888889</v>
      </c>
      <c r="G11" s="2"/>
      <c r="H11" s="2"/>
      <c r="J11" t="s">
        <v>30</v>
      </c>
      <c r="K11" s="12">
        <f>INDEX(time_table,MATCH(Airport,Airports,0),MATCH(flight_day,weekdays,0))</f>
        <v>0.30902777777777779</v>
      </c>
    </row>
    <row r="12" spans="1:11" x14ac:dyDescent="0.25">
      <c r="A12" s="8" t="s">
        <v>0</v>
      </c>
      <c r="B12" s="3">
        <v>0.22569444444444445</v>
      </c>
      <c r="C12" s="3">
        <v>0.22569444444444445</v>
      </c>
      <c r="D12" s="3">
        <v>0.22569444444444445</v>
      </c>
      <c r="E12" s="2"/>
      <c r="F12" s="3">
        <v>0.20833333333333334</v>
      </c>
      <c r="G12" s="3">
        <v>0.2986111111111111</v>
      </c>
      <c r="H12" s="3">
        <v>0.3125</v>
      </c>
      <c r="J12" t="s">
        <v>31</v>
      </c>
      <c r="K12" s="12"/>
    </row>
    <row r="13" spans="1:11" x14ac:dyDescent="0.25">
      <c r="A13" s="8" t="s">
        <v>14</v>
      </c>
      <c r="B13" s="3">
        <v>0.2673611111111111</v>
      </c>
      <c r="C13" s="3">
        <v>0.2673611111111111</v>
      </c>
      <c r="D13" s="3">
        <v>0.2673611111111111</v>
      </c>
      <c r="E13" s="2"/>
      <c r="F13" s="3">
        <v>0.23611111111111113</v>
      </c>
      <c r="G13" s="2"/>
      <c r="H13" s="2"/>
    </row>
    <row r="14" spans="1:11" x14ac:dyDescent="0.25">
      <c r="A14" s="8" t="s">
        <v>4</v>
      </c>
      <c r="B14" s="3">
        <v>0.24652777777777779</v>
      </c>
      <c r="C14" s="3"/>
      <c r="D14" s="3">
        <v>0.24652777777777779</v>
      </c>
      <c r="E14" s="2"/>
      <c r="F14" s="3">
        <v>0.24652777777777779</v>
      </c>
      <c r="G14" s="2"/>
      <c r="H14" s="2"/>
    </row>
    <row r="15" spans="1:11" x14ac:dyDescent="0.25">
      <c r="A15" s="8" t="s">
        <v>7</v>
      </c>
      <c r="B15" s="3">
        <v>0.25347222222222221</v>
      </c>
      <c r="C15" s="3">
        <v>0.25347222222222221</v>
      </c>
      <c r="D15" s="3">
        <v>0.25347222222222221</v>
      </c>
      <c r="E15" s="2"/>
      <c r="F15" s="3">
        <v>0.25347222222222221</v>
      </c>
      <c r="G15" s="3">
        <v>0.28125</v>
      </c>
      <c r="H15" s="2"/>
    </row>
    <row r="16" spans="1:11" x14ac:dyDescent="0.25">
      <c r="A16" s="8" t="s">
        <v>6</v>
      </c>
      <c r="B16" s="3">
        <v>0.26041666666666669</v>
      </c>
      <c r="C16" s="3">
        <v>0.26041666666666669</v>
      </c>
      <c r="D16" s="3">
        <v>0.26041666666666669</v>
      </c>
      <c r="E16" s="2"/>
      <c r="F16" s="3">
        <v>0.25347222222222221</v>
      </c>
      <c r="G16" s="3">
        <v>0.2638888888888889</v>
      </c>
      <c r="H16" s="3">
        <v>0.2986111111111111</v>
      </c>
    </row>
    <row r="17" spans="1:8" x14ac:dyDescent="0.25">
      <c r="A17" s="8" t="s">
        <v>3</v>
      </c>
      <c r="B17" s="3">
        <v>0.24305555555555555</v>
      </c>
      <c r="C17" s="3">
        <v>0.24305555555555555</v>
      </c>
      <c r="D17" s="3"/>
      <c r="E17" s="2"/>
      <c r="F17" s="3">
        <v>0.21527777777777779</v>
      </c>
      <c r="G17" s="2"/>
      <c r="H17" s="2"/>
    </row>
    <row r="18" spans="1:8" x14ac:dyDescent="0.25">
      <c r="A18" s="8" t="s">
        <v>13</v>
      </c>
      <c r="B18" s="3">
        <v>0.26041666666666669</v>
      </c>
      <c r="C18" s="3">
        <v>0.26041666666666669</v>
      </c>
      <c r="D18" s="3">
        <v>0.26041666666666669</v>
      </c>
      <c r="E18" s="2"/>
      <c r="F18" s="3">
        <v>0.25</v>
      </c>
      <c r="G18" s="2"/>
      <c r="H18" s="2"/>
    </row>
    <row r="19" spans="1:8" x14ac:dyDescent="0.25">
      <c r="A19" s="8" t="s">
        <v>11</v>
      </c>
      <c r="B19" s="3">
        <v>0.2673611111111111</v>
      </c>
      <c r="C19" s="3"/>
      <c r="D19" s="3">
        <v>0.2673611111111111</v>
      </c>
      <c r="E19" s="2"/>
      <c r="F19" s="3">
        <v>0.26041666666666669</v>
      </c>
      <c r="G19" s="2"/>
      <c r="H19" s="2"/>
    </row>
  </sheetData>
  <sortState xmlns:xlrd2="http://schemas.microsoft.com/office/spreadsheetml/2017/richdata2" ref="A4:A19">
    <sortCondition ref="A6"/>
  </sortState>
  <mergeCells count="1">
    <mergeCell ref="K11:K12"/>
  </mergeCells>
  <conditionalFormatting sqref="B4:H19">
    <cfRule type="cellIs" dxfId="2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21</vt:i4>
      </vt:variant>
    </vt:vector>
  </HeadingPairs>
  <TitlesOfParts>
    <vt:vector size="24" baseType="lpstr">
      <vt:lpstr>Task 1</vt:lpstr>
      <vt:lpstr>Task 2</vt:lpstr>
      <vt:lpstr>Task 3</vt:lpstr>
      <vt:lpstr>'Task 1'!Airport</vt:lpstr>
      <vt:lpstr>'Task 2'!Airport</vt:lpstr>
      <vt:lpstr>Airport</vt:lpstr>
      <vt:lpstr>'Task 1'!Airport_Pos_Num</vt:lpstr>
      <vt:lpstr>'Task 2'!Airport_Pos_Num</vt:lpstr>
      <vt:lpstr>Airport_Pos_Num</vt:lpstr>
      <vt:lpstr>'Task 1'!Airports</vt:lpstr>
      <vt:lpstr>'Task 2'!Airports</vt:lpstr>
      <vt:lpstr>Airports</vt:lpstr>
      <vt:lpstr>'Task 1'!Day_Pos_Num</vt:lpstr>
      <vt:lpstr>'Task 2'!Day_Pos_Num</vt:lpstr>
      <vt:lpstr>Day_Pos_Num</vt:lpstr>
      <vt:lpstr>'Task 1'!flight_day</vt:lpstr>
      <vt:lpstr>'Task 2'!flight_day</vt:lpstr>
      <vt:lpstr>flight_day</vt:lpstr>
      <vt:lpstr>'Task 1'!time_table</vt:lpstr>
      <vt:lpstr>'Task 2'!time_table</vt:lpstr>
      <vt:lpstr>time_table</vt:lpstr>
      <vt:lpstr>'Task 1'!weekdays</vt:lpstr>
      <vt:lpstr>'Task 2'!weekdays</vt:lpstr>
      <vt:lpstr>weekdays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2018-03-23T17:35:40Z</dcterms:created>
  <dcterms:modified xsi:type="dcterms:W3CDTF">2026-10-07T03:55:47Z</dcterms:modified>
</cp:coreProperties>
</file>