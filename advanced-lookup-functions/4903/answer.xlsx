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679\"/>
    </mc:Choice>
  </mc:AlternateContent>
  <xr:revisionPtr revIDLastSave="0" documentId="13_ncr:1_{B5040165-6317-49E2-AAA3-660A47B8BAE8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Task 1" sheetId="2" r:id="rId1"/>
    <sheet name="Task 2" sheetId="1" r:id="rId2"/>
  </sheets>
  <definedNames>
    <definedName name="_xlnm._FilterDatabase" localSheetId="0" hidden="1">'Task 1'!$A$3:$F$23</definedName>
    <definedName name="_xlnm._FilterDatabase" localSheetId="1" hidden="1">'Task 2'!$A$3:$F$23</definedName>
    <definedName name="Centre_Dates" localSheetId="0">'Task 1'!$I$4:$N$5</definedName>
    <definedName name="Centre_Dates">'Task 2'!$I$4:$N$5</definedName>
    <definedName name="Pupil_name" localSheetId="0">'Task 1'!$B$26</definedName>
    <definedName name="Pupil_name">'Task 2'!$B$26</definedName>
    <definedName name="Pupil_table" localSheetId="0">'Task 1'!$A$4:$F$23</definedName>
    <definedName name="Pupil_table">'Task 2'!$A$4:$F$23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2" l="1"/>
  <c r="C31" i="2"/>
  <c r="B31" i="2"/>
  <c r="C30" i="2"/>
  <c r="B30" i="2"/>
  <c r="C29" i="2"/>
  <c r="B29" i="2"/>
  <c r="C28" i="2"/>
  <c r="B28" i="2"/>
  <c r="B27" i="2"/>
  <c r="C26" i="2"/>
  <c r="C27" i="1"/>
  <c r="C28" i="1"/>
  <c r="C29" i="1"/>
  <c r="C30" i="1"/>
  <c r="C31" i="1"/>
  <c r="C26" i="1"/>
  <c r="B31" i="1"/>
  <c r="B29" i="1"/>
  <c r="B28" i="1"/>
  <c r="B27" i="1"/>
  <c r="B30" i="1"/>
</calcChain>
</file>

<file path=xl/sharedStrings.xml><?xml version="1.0" encoding="utf-8"?>
<sst xmlns="http://schemas.openxmlformats.org/spreadsheetml/2006/main" count="170" uniqueCount="48">
  <si>
    <t>ABRSM Examinations</t>
  </si>
  <si>
    <t>Lilly R Bennett</t>
  </si>
  <si>
    <t>Simon T Brent</t>
  </si>
  <si>
    <t>Helen P Brown</t>
  </si>
  <si>
    <t>David S Brown</t>
  </si>
  <si>
    <t>Georgia L Gough</t>
  </si>
  <si>
    <t>Lilly G Bennett</t>
  </si>
  <si>
    <t>Richard Y Taylor</t>
  </si>
  <si>
    <t>Simon D Smith</t>
  </si>
  <si>
    <t>Helen W Bennett</t>
  </si>
  <si>
    <t>Emily T Williams</t>
  </si>
  <si>
    <t>Instrument</t>
  </si>
  <si>
    <t>Grade</t>
  </si>
  <si>
    <t>Centre</t>
  </si>
  <si>
    <t>Date</t>
  </si>
  <si>
    <t>Time</t>
  </si>
  <si>
    <t>French Horn</t>
  </si>
  <si>
    <t>Piano</t>
  </si>
  <si>
    <t>Clarinet</t>
  </si>
  <si>
    <t>Flute</t>
  </si>
  <si>
    <t>Saxophone</t>
  </si>
  <si>
    <t>Manchester</t>
  </si>
  <si>
    <t>London</t>
  </si>
  <si>
    <t>York</t>
  </si>
  <si>
    <t>Bristol</t>
  </si>
  <si>
    <t>Oxford</t>
  </si>
  <si>
    <t>Edinburgh</t>
  </si>
  <si>
    <t>Exam Centre</t>
  </si>
  <si>
    <t>Harp</t>
  </si>
  <si>
    <t>Richard F Pierce-Hall</t>
  </si>
  <si>
    <t>Gregory H Jones</t>
  </si>
  <si>
    <t>Trumpet</t>
  </si>
  <si>
    <t>William F Taylor</t>
  </si>
  <si>
    <t>Drums</t>
  </si>
  <si>
    <t>James T Smythe</t>
  </si>
  <si>
    <t>Aaron P King</t>
  </si>
  <si>
    <t>Tuba</t>
  </si>
  <si>
    <t>David T Lovatt</t>
  </si>
  <si>
    <t>Phillip J Winters</t>
  </si>
  <si>
    <t>Violin</t>
  </si>
  <si>
    <t>Fenella B Winters</t>
  </si>
  <si>
    <t>Cello</t>
  </si>
  <si>
    <t>Timothy K Caruthers</t>
  </si>
  <si>
    <t>Petunia L Fox</t>
  </si>
  <si>
    <t>Pupil Search:</t>
  </si>
  <si>
    <t>Pupil Name</t>
  </si>
  <si>
    <t>Using VLOOKUP</t>
  </si>
  <si>
    <t>Using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</si>
</sst>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h:mm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6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0" xfId="0" applyFont="1"/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65E6-2EDA-4C3A-99D9-2012180658CC}">
  <dimension ref="A1:N31"/>
  <sheetViews>
    <sheetView topLeftCell="A16" zoomScaleNormal="100" workbookViewId="0">
      <selection activeCell="C26" sqref="C26"/>
    </sheetView>
  </sheetViews>
  <sheetFormatPr defaultRowHeight="15" x14ac:dyDescent="0.25"/>
  <cols>
    <col min="1" max="1" width="17.140625" customWidth="1"/>
    <col min="2" max="2" width="14.140625" bestFit="1" customWidth="1"/>
    <col min="3" max="3" width="13.85546875" style="1" customWidth="1"/>
    <col min="4" max="4" width="10.7109375" style="1" bestFit="1" customWidth="1"/>
    <col min="5" max="5" width="11.85546875" style="1" customWidth="1"/>
    <col min="6" max="6" width="5.28515625" style="1" bestFit="1" customWidth="1"/>
    <col min="7" max="7" width="3" customWidth="1"/>
    <col min="8" max="8" width="10.7109375" customWidth="1"/>
    <col min="9" max="9" width="8.7109375" bestFit="1" customWidth="1"/>
    <col min="10" max="10" width="8.7109375" customWidth="1"/>
    <col min="11" max="11" width="8.7109375" bestFit="1" customWidth="1"/>
    <col min="12" max="12" width="8.85546875" bestFit="1" customWidth="1"/>
    <col min="13" max="14" width="8.7109375" bestFit="1" customWidth="1"/>
  </cols>
  <sheetData>
    <row r="1" spans="1:14" ht="21" x14ac:dyDescent="0.35">
      <c r="A1" s="11" t="s">
        <v>0</v>
      </c>
    </row>
    <row r="3" spans="1:14" x14ac:dyDescent="0.25">
      <c r="A3" s="9" t="s">
        <v>45</v>
      </c>
      <c r="B3" s="9" t="s">
        <v>11</v>
      </c>
      <c r="C3" s="10" t="s">
        <v>12</v>
      </c>
      <c r="D3" s="10" t="s">
        <v>13</v>
      </c>
      <c r="E3" s="10" t="s">
        <v>14</v>
      </c>
      <c r="F3" s="10" t="s">
        <v>15</v>
      </c>
    </row>
    <row r="4" spans="1:14" x14ac:dyDescent="0.25">
      <c r="A4" s="2" t="s">
        <v>1</v>
      </c>
      <c r="B4" s="2" t="s">
        <v>16</v>
      </c>
      <c r="C4" s="6">
        <v>6</v>
      </c>
      <c r="D4" s="6" t="s">
        <v>23</v>
      </c>
      <c r="E4" s="7">
        <v>45452</v>
      </c>
      <c r="F4" s="8">
        <v>0.4375</v>
      </c>
      <c r="H4" s="4" t="s">
        <v>27</v>
      </c>
      <c r="I4" s="4" t="s">
        <v>24</v>
      </c>
      <c r="J4" s="4" t="s">
        <v>26</v>
      </c>
      <c r="K4" s="4" t="s">
        <v>22</v>
      </c>
      <c r="L4" s="4" t="s">
        <v>21</v>
      </c>
      <c r="M4" s="4" t="s">
        <v>25</v>
      </c>
      <c r="N4" s="4" t="s">
        <v>23</v>
      </c>
    </row>
    <row r="5" spans="1:14" x14ac:dyDescent="0.25">
      <c r="A5" s="2" t="s">
        <v>29</v>
      </c>
      <c r="B5" s="2" t="s">
        <v>17</v>
      </c>
      <c r="C5" s="6">
        <v>2</v>
      </c>
      <c r="D5" s="6" t="s">
        <v>22</v>
      </c>
      <c r="E5" s="7">
        <v>45458</v>
      </c>
      <c r="F5" s="8">
        <v>0.41666666666666669</v>
      </c>
      <c r="H5" s="4" t="s">
        <v>14</v>
      </c>
      <c r="I5" s="5">
        <v>41803</v>
      </c>
      <c r="J5" s="5">
        <v>41796</v>
      </c>
      <c r="K5" s="5">
        <v>41805</v>
      </c>
      <c r="L5" s="5">
        <v>41801</v>
      </c>
      <c r="M5" s="5">
        <v>41804</v>
      </c>
      <c r="N5" s="5">
        <v>41799</v>
      </c>
    </row>
    <row r="6" spans="1:14" x14ac:dyDescent="0.25">
      <c r="A6" s="2" t="s">
        <v>2</v>
      </c>
      <c r="B6" s="2" t="s">
        <v>39</v>
      </c>
      <c r="C6" s="6">
        <v>2</v>
      </c>
      <c r="D6" s="6" t="s">
        <v>21</v>
      </c>
      <c r="E6" s="7">
        <v>45454</v>
      </c>
      <c r="F6" s="8">
        <v>0.58333333333333337</v>
      </c>
    </row>
    <row r="7" spans="1:14" x14ac:dyDescent="0.25">
      <c r="A7" s="2" t="s">
        <v>3</v>
      </c>
      <c r="B7" s="2" t="s">
        <v>18</v>
      </c>
      <c r="C7" s="6">
        <v>3</v>
      </c>
      <c r="D7" s="6" t="s">
        <v>22</v>
      </c>
      <c r="E7" s="7">
        <v>45458</v>
      </c>
      <c r="F7" s="8">
        <v>0.4375</v>
      </c>
    </row>
    <row r="8" spans="1:14" x14ac:dyDescent="0.25">
      <c r="A8" s="2" t="s">
        <v>4</v>
      </c>
      <c r="B8" s="2" t="s">
        <v>19</v>
      </c>
      <c r="C8" s="6">
        <v>5</v>
      </c>
      <c r="D8" s="6" t="s">
        <v>24</v>
      </c>
      <c r="E8" s="7">
        <v>45456</v>
      </c>
      <c r="F8" s="8">
        <v>0.41666666666666669</v>
      </c>
    </row>
    <row r="9" spans="1:14" x14ac:dyDescent="0.25">
      <c r="A9" s="2" t="s">
        <v>34</v>
      </c>
      <c r="B9" s="2" t="s">
        <v>17</v>
      </c>
      <c r="C9" s="6">
        <v>7</v>
      </c>
      <c r="D9" s="6" t="s">
        <v>25</v>
      </c>
      <c r="E9" s="7">
        <v>45457</v>
      </c>
      <c r="F9" s="8">
        <v>0.45833333333333331</v>
      </c>
    </row>
    <row r="10" spans="1:14" x14ac:dyDescent="0.25">
      <c r="A10" s="2" t="s">
        <v>5</v>
      </c>
      <c r="B10" s="2" t="s">
        <v>20</v>
      </c>
      <c r="C10" s="6">
        <v>8</v>
      </c>
      <c r="D10" s="6" t="s">
        <v>23</v>
      </c>
      <c r="E10" s="7">
        <v>45452</v>
      </c>
      <c r="F10" s="8">
        <v>0.47916666666666669</v>
      </c>
    </row>
    <row r="11" spans="1:14" x14ac:dyDescent="0.25">
      <c r="A11" s="2" t="s">
        <v>6</v>
      </c>
      <c r="B11" s="2" t="s">
        <v>16</v>
      </c>
      <c r="C11" s="6">
        <v>1</v>
      </c>
      <c r="D11" s="6" t="s">
        <v>22</v>
      </c>
      <c r="E11" s="7">
        <v>45458</v>
      </c>
      <c r="F11" s="8">
        <v>0.47916666666666669</v>
      </c>
    </row>
    <row r="12" spans="1:14" x14ac:dyDescent="0.25">
      <c r="A12" s="2" t="s">
        <v>7</v>
      </c>
      <c r="B12" s="2" t="s">
        <v>17</v>
      </c>
      <c r="C12" s="6">
        <v>4</v>
      </c>
      <c r="D12" s="6" t="s">
        <v>22</v>
      </c>
      <c r="E12" s="7">
        <v>45458</v>
      </c>
      <c r="F12" s="8">
        <v>0.52083333333333337</v>
      </c>
    </row>
    <row r="13" spans="1:14" x14ac:dyDescent="0.25">
      <c r="A13" s="2" t="s">
        <v>8</v>
      </c>
      <c r="B13" s="2" t="s">
        <v>39</v>
      </c>
      <c r="C13" s="6">
        <v>5</v>
      </c>
      <c r="D13" s="6" t="s">
        <v>26</v>
      </c>
      <c r="E13" s="7">
        <v>45449</v>
      </c>
      <c r="F13" s="8">
        <v>0.58333333333333337</v>
      </c>
    </row>
    <row r="14" spans="1:14" x14ac:dyDescent="0.25">
      <c r="A14" s="2" t="s">
        <v>9</v>
      </c>
      <c r="B14" s="2" t="s">
        <v>19</v>
      </c>
      <c r="C14" s="6">
        <v>6</v>
      </c>
      <c r="D14" s="6" t="s">
        <v>24</v>
      </c>
      <c r="E14" s="7">
        <v>45456</v>
      </c>
      <c r="F14" s="8">
        <v>0.44444444444444442</v>
      </c>
    </row>
    <row r="15" spans="1:14" x14ac:dyDescent="0.25">
      <c r="A15" s="2" t="s">
        <v>10</v>
      </c>
      <c r="B15" s="2" t="s">
        <v>41</v>
      </c>
      <c r="C15" s="6">
        <v>2</v>
      </c>
      <c r="D15" s="6" t="s">
        <v>25</v>
      </c>
      <c r="E15" s="7">
        <v>45457</v>
      </c>
      <c r="F15" s="8">
        <v>0.5</v>
      </c>
    </row>
    <row r="16" spans="1:14" x14ac:dyDescent="0.25">
      <c r="A16" s="2" t="s">
        <v>43</v>
      </c>
      <c r="B16" s="2" t="s">
        <v>28</v>
      </c>
      <c r="C16" s="6">
        <v>6</v>
      </c>
      <c r="D16" s="6" t="s">
        <v>25</v>
      </c>
      <c r="E16" s="7">
        <v>45457</v>
      </c>
      <c r="F16" s="8">
        <v>0.60416666666666663</v>
      </c>
    </row>
    <row r="17" spans="1:6" x14ac:dyDescent="0.25">
      <c r="A17" s="2" t="s">
        <v>30</v>
      </c>
      <c r="B17" s="2" t="s">
        <v>31</v>
      </c>
      <c r="C17" s="6">
        <v>4</v>
      </c>
      <c r="D17" s="6" t="s">
        <v>26</v>
      </c>
      <c r="E17" s="7">
        <v>45449</v>
      </c>
      <c r="F17" s="8">
        <v>0.61111111111111105</v>
      </c>
    </row>
    <row r="18" spans="1:6" x14ac:dyDescent="0.25">
      <c r="A18" s="2" t="s">
        <v>32</v>
      </c>
      <c r="B18" s="2" t="s">
        <v>33</v>
      </c>
      <c r="C18" s="6">
        <v>6</v>
      </c>
      <c r="D18" s="6" t="s">
        <v>23</v>
      </c>
      <c r="E18" s="7">
        <v>45452</v>
      </c>
      <c r="F18" s="8">
        <v>0.58333333333333337</v>
      </c>
    </row>
    <row r="19" spans="1:6" x14ac:dyDescent="0.25">
      <c r="A19" s="2" t="s">
        <v>35</v>
      </c>
      <c r="B19" s="2" t="s">
        <v>36</v>
      </c>
      <c r="C19" s="6">
        <v>8</v>
      </c>
      <c r="D19" s="6" t="s">
        <v>24</v>
      </c>
      <c r="E19" s="7">
        <v>45456</v>
      </c>
      <c r="F19" s="8">
        <v>0.47222222222222227</v>
      </c>
    </row>
    <row r="20" spans="1:6" x14ac:dyDescent="0.25">
      <c r="A20" s="2" t="s">
        <v>37</v>
      </c>
      <c r="B20" s="2" t="s">
        <v>18</v>
      </c>
      <c r="C20" s="6">
        <v>3</v>
      </c>
      <c r="D20" s="6" t="s">
        <v>21</v>
      </c>
      <c r="E20" s="7">
        <v>45454</v>
      </c>
      <c r="F20" s="8">
        <v>0.60416666666666663</v>
      </c>
    </row>
    <row r="21" spans="1:6" x14ac:dyDescent="0.25">
      <c r="A21" s="2" t="s">
        <v>38</v>
      </c>
      <c r="B21" s="2" t="s">
        <v>39</v>
      </c>
      <c r="C21" s="6">
        <v>6</v>
      </c>
      <c r="D21" s="6" t="s">
        <v>21</v>
      </c>
      <c r="E21" s="7">
        <v>45454</v>
      </c>
      <c r="F21" s="8">
        <v>0.63888888888888895</v>
      </c>
    </row>
    <row r="22" spans="1:6" x14ac:dyDescent="0.25">
      <c r="A22" s="2" t="s">
        <v>40</v>
      </c>
      <c r="B22" s="2" t="s">
        <v>41</v>
      </c>
      <c r="C22" s="6">
        <v>8</v>
      </c>
      <c r="D22" s="6" t="s">
        <v>23</v>
      </c>
      <c r="E22" s="7">
        <v>45452</v>
      </c>
      <c r="F22" s="8">
        <v>0.625</v>
      </c>
    </row>
    <row r="23" spans="1:6" x14ac:dyDescent="0.25">
      <c r="A23" s="2" t="s">
        <v>42</v>
      </c>
      <c r="B23" s="2" t="s">
        <v>18</v>
      </c>
      <c r="C23" s="6">
        <v>5</v>
      </c>
      <c r="D23" s="6" t="s">
        <v>22</v>
      </c>
      <c r="E23" s="7">
        <v>45458</v>
      </c>
      <c r="F23" s="8">
        <v>0.60416666666666663</v>
      </c>
    </row>
    <row r="25" spans="1:6" ht="18.75" x14ac:dyDescent="0.3">
      <c r="A25" s="12" t="s">
        <v>44</v>
      </c>
      <c r="B25" s="16" t="s">
        <v>46</v>
      </c>
      <c r="C25" s="17" t="s">
        <v>47</v>
      </c>
    </row>
    <row r="26" spans="1:6" x14ac:dyDescent="0.25">
      <c r="A26" s="3" t="s">
        <v>45</v>
      </c>
      <c r="B26" s="18" t="s">
        <v>43</v>
      </c>
      <c r="C26" s="6" t="str">
        <f t="shared" ref="C26:C31" si="0">VLOOKUP(Pupil_name,Pupil_table,MATCH(A26,$A$3:$F$3,0),0)</f>
        <v>Petunia L Fox</v>
      </c>
      <c r="D26"/>
    </row>
    <row r="27" spans="1:6" x14ac:dyDescent="0.25">
      <c r="A27" s="3" t="s">
        <v>11</v>
      </c>
      <c r="B27" s="13" t="str">
        <f>VLOOKUP(Pupil_name,Pupil_table,2,FALSE)</f>
        <v>Harp</v>
      </c>
      <c r="C27" s="19" t="str">
        <f t="shared" si="0"/>
        <v>Harp</v>
      </c>
      <c r="D27"/>
    </row>
    <row r="28" spans="1:6" x14ac:dyDescent="0.25">
      <c r="A28" s="3" t="s">
        <v>12</v>
      </c>
      <c r="B28" s="13">
        <f>VLOOKUP(Pupil_name,Pupil_table,3,FALSE)</f>
        <v>6</v>
      </c>
      <c r="C28" s="19">
        <f t="shared" si="0"/>
        <v>6</v>
      </c>
      <c r="D28"/>
    </row>
    <row r="29" spans="1:6" x14ac:dyDescent="0.25">
      <c r="A29" s="3" t="s">
        <v>13</v>
      </c>
      <c r="B29" s="13" t="str">
        <f>VLOOKUP(Pupil_name,Pupil_table,4,FALSE)</f>
        <v>Oxford</v>
      </c>
      <c r="C29" s="19" t="str">
        <f t="shared" si="0"/>
        <v>Oxford</v>
      </c>
      <c r="D29"/>
    </row>
    <row r="30" spans="1:6" x14ac:dyDescent="0.25">
      <c r="A30" s="3" t="s">
        <v>14</v>
      </c>
      <c r="B30" s="14">
        <f>VLOOKUP(Pupil_name,Pupil_table,5,FALSE)</f>
        <v>45457</v>
      </c>
      <c r="C30" s="20">
        <f t="shared" si="0"/>
        <v>45457</v>
      </c>
      <c r="D30"/>
    </row>
    <row r="31" spans="1:6" x14ac:dyDescent="0.25">
      <c r="A31" s="3" t="s">
        <v>15</v>
      </c>
      <c r="B31" s="15">
        <f>VLOOKUP(Pupil_name,Pupil_table,6,FALSE)</f>
        <v>0.60416666666666663</v>
      </c>
      <c r="C31" s="21">
        <f t="shared" si="0"/>
        <v>0.60416666666666663</v>
      </c>
      <c r="D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topLeftCell="A11" zoomScaleNormal="100" workbookViewId="0">
      <selection activeCell="C27" sqref="C27:C31"/>
    </sheetView>
  </sheetViews>
  <sheetFormatPr defaultRowHeight="15" x14ac:dyDescent="0.25"/>
  <cols>
    <col min="1" max="1" width="17.140625" customWidth="1"/>
    <col min="2" max="2" width="14.140625" bestFit="1" customWidth="1"/>
    <col min="3" max="3" width="13.85546875" style="1" customWidth="1"/>
    <col min="4" max="4" width="10.7109375" style="1" bestFit="1" customWidth="1"/>
    <col min="5" max="5" width="11.85546875" style="1" customWidth="1"/>
    <col min="6" max="6" width="5.28515625" style="1" bestFit="1" customWidth="1"/>
    <col min="7" max="7" width="3" customWidth="1"/>
    <col min="8" max="8" width="10.7109375" customWidth="1"/>
    <col min="9" max="9" width="8.7109375" bestFit="1" customWidth="1"/>
    <col min="10" max="10" width="8.7109375" customWidth="1"/>
    <col min="11" max="11" width="8.7109375" bestFit="1" customWidth="1"/>
    <col min="12" max="12" width="8.85546875" bestFit="1" customWidth="1"/>
    <col min="13" max="14" width="8.7109375" bestFit="1" customWidth="1"/>
  </cols>
  <sheetData>
    <row r="1" spans="1:14" ht="21" x14ac:dyDescent="0.35">
      <c r="A1" s="11" t="s">
        <v>0</v>
      </c>
    </row>
    <row r="3" spans="1:14" x14ac:dyDescent="0.25">
      <c r="A3" s="9" t="s">
        <v>45</v>
      </c>
      <c r="B3" s="9" t="s">
        <v>11</v>
      </c>
      <c r="C3" s="10" t="s">
        <v>12</v>
      </c>
      <c r="D3" s="10" t="s">
        <v>13</v>
      </c>
      <c r="E3" s="10" t="s">
        <v>14</v>
      </c>
      <c r="F3" s="10" t="s">
        <v>15</v>
      </c>
    </row>
    <row r="4" spans="1:14" x14ac:dyDescent="0.25">
      <c r="A4" s="2" t="s">
        <v>1</v>
      </c>
      <c r="B4" s="2" t="s">
        <v>16</v>
      </c>
      <c r="C4" s="6">
        <v>6</v>
      </c>
      <c r="D4" s="6" t="s">
        <v>23</v>
      </c>
      <c r="E4" s="7">
        <v>45452</v>
      </c>
      <c r="F4" s="8">
        <v>0.4375</v>
      </c>
      <c r="H4" s="4" t="s">
        <v>27</v>
      </c>
      <c r="I4" s="4" t="s">
        <v>24</v>
      </c>
      <c r="J4" s="4" t="s">
        <v>26</v>
      </c>
      <c r="K4" s="4" t="s">
        <v>22</v>
      </c>
      <c r="L4" s="4" t="s">
        <v>21</v>
      </c>
      <c r="M4" s="4" t="s">
        <v>25</v>
      </c>
      <c r="N4" s="4" t="s">
        <v>23</v>
      </c>
    </row>
    <row r="5" spans="1:14" x14ac:dyDescent="0.25">
      <c r="A5" s="2" t="s">
        <v>29</v>
      </c>
      <c r="B5" s="2" t="s">
        <v>17</v>
      </c>
      <c r="C5" s="6">
        <v>2</v>
      </c>
      <c r="D5" s="6" t="s">
        <v>22</v>
      </c>
      <c r="E5" s="7">
        <v>45458</v>
      </c>
      <c r="F5" s="8">
        <v>0.41666666666666669</v>
      </c>
      <c r="H5" s="4" t="s">
        <v>14</v>
      </c>
      <c r="I5" s="5">
        <v>41803</v>
      </c>
      <c r="J5" s="5">
        <v>41796</v>
      </c>
      <c r="K5" s="5">
        <v>41805</v>
      </c>
      <c r="L5" s="5">
        <v>41801</v>
      </c>
      <c r="M5" s="5">
        <v>41804</v>
      </c>
      <c r="N5" s="5">
        <v>41799</v>
      </c>
    </row>
    <row r="6" spans="1:14" x14ac:dyDescent="0.25">
      <c r="A6" s="2" t="s">
        <v>2</v>
      </c>
      <c r="B6" s="2" t="s">
        <v>39</v>
      </c>
      <c r="C6" s="6">
        <v>2</v>
      </c>
      <c r="D6" s="6" t="s">
        <v>21</v>
      </c>
      <c r="E6" s="7">
        <v>45454</v>
      </c>
      <c r="F6" s="8">
        <v>0.58333333333333337</v>
      </c>
    </row>
    <row r="7" spans="1:14" x14ac:dyDescent="0.25">
      <c r="A7" s="2" t="s">
        <v>3</v>
      </c>
      <c r="B7" s="2" t="s">
        <v>18</v>
      </c>
      <c r="C7" s="6">
        <v>3</v>
      </c>
      <c r="D7" s="6" t="s">
        <v>22</v>
      </c>
      <c r="E7" s="7">
        <v>45458</v>
      </c>
      <c r="F7" s="8">
        <v>0.4375</v>
      </c>
    </row>
    <row r="8" spans="1:14" x14ac:dyDescent="0.25">
      <c r="A8" s="2" t="s">
        <v>4</v>
      </c>
      <c r="B8" s="2" t="s">
        <v>19</v>
      </c>
      <c r="C8" s="6">
        <v>5</v>
      </c>
      <c r="D8" s="6" t="s">
        <v>24</v>
      </c>
      <c r="E8" s="7">
        <v>45456</v>
      </c>
      <c r="F8" s="8">
        <v>0.41666666666666669</v>
      </c>
    </row>
    <row r="9" spans="1:14" x14ac:dyDescent="0.25">
      <c r="A9" s="2" t="s">
        <v>34</v>
      </c>
      <c r="B9" s="2" t="s">
        <v>17</v>
      </c>
      <c r="C9" s="6">
        <v>7</v>
      </c>
      <c r="D9" s="6" t="s">
        <v>25</v>
      </c>
      <c r="E9" s="7">
        <v>45457</v>
      </c>
      <c r="F9" s="8">
        <v>0.45833333333333331</v>
      </c>
    </row>
    <row r="10" spans="1:14" x14ac:dyDescent="0.25">
      <c r="A10" s="2" t="s">
        <v>5</v>
      </c>
      <c r="B10" s="2" t="s">
        <v>20</v>
      </c>
      <c r="C10" s="6">
        <v>8</v>
      </c>
      <c r="D10" s="6" t="s">
        <v>23</v>
      </c>
      <c r="E10" s="7">
        <v>45452</v>
      </c>
      <c r="F10" s="8">
        <v>0.47916666666666669</v>
      </c>
    </row>
    <row r="11" spans="1:14" x14ac:dyDescent="0.25">
      <c r="A11" s="2" t="s">
        <v>6</v>
      </c>
      <c r="B11" s="2" t="s">
        <v>16</v>
      </c>
      <c r="C11" s="6">
        <v>1</v>
      </c>
      <c r="D11" s="6" t="s">
        <v>22</v>
      </c>
      <c r="E11" s="7">
        <v>45458</v>
      </c>
      <c r="F11" s="8">
        <v>0.47916666666666669</v>
      </c>
    </row>
    <row r="12" spans="1:14" x14ac:dyDescent="0.25">
      <c r="A12" s="2" t="s">
        <v>7</v>
      </c>
      <c r="B12" s="2" t="s">
        <v>17</v>
      </c>
      <c r="C12" s="6">
        <v>4</v>
      </c>
      <c r="D12" s="6" t="s">
        <v>22</v>
      </c>
      <c r="E12" s="7">
        <v>45458</v>
      </c>
      <c r="F12" s="8">
        <v>0.52083333333333337</v>
      </c>
    </row>
    <row r="13" spans="1:14" x14ac:dyDescent="0.25">
      <c r="A13" s="2" t="s">
        <v>8</v>
      </c>
      <c r="B13" s="2" t="s">
        <v>39</v>
      </c>
      <c r="C13" s="6">
        <v>5</v>
      </c>
      <c r="D13" s="6" t="s">
        <v>26</v>
      </c>
      <c r="E13" s="7">
        <v>45449</v>
      </c>
      <c r="F13" s="8">
        <v>0.58333333333333337</v>
      </c>
    </row>
    <row r="14" spans="1:14" x14ac:dyDescent="0.25">
      <c r="A14" s="2" t="s">
        <v>9</v>
      </c>
      <c r="B14" s="2" t="s">
        <v>19</v>
      </c>
      <c r="C14" s="6">
        <v>6</v>
      </c>
      <c r="D14" s="6" t="s">
        <v>24</v>
      </c>
      <c r="E14" s="7">
        <v>45456</v>
      </c>
      <c r="F14" s="8">
        <v>0.44444444444444442</v>
      </c>
    </row>
    <row r="15" spans="1:14" x14ac:dyDescent="0.25">
      <c r="A15" s="2" t="s">
        <v>10</v>
      </c>
      <c r="B15" s="2" t="s">
        <v>41</v>
      </c>
      <c r="C15" s="6">
        <v>2</v>
      </c>
      <c r="D15" s="6" t="s">
        <v>25</v>
      </c>
      <c r="E15" s="7">
        <v>45457</v>
      </c>
      <c r="F15" s="8">
        <v>0.5</v>
      </c>
    </row>
    <row r="16" spans="1:14" x14ac:dyDescent="0.25">
      <c r="A16" s="2" t="s">
        <v>43</v>
      </c>
      <c r="B16" s="2" t="s">
        <v>28</v>
      </c>
      <c r="C16" s="6">
        <v>6</v>
      </c>
      <c r="D16" s="6" t="s">
        <v>25</v>
      </c>
      <c r="E16" s="7">
        <v>45457</v>
      </c>
      <c r="F16" s="8">
        <v>0.60416666666666663</v>
      </c>
    </row>
    <row r="17" spans="1:6" x14ac:dyDescent="0.25">
      <c r="A17" s="2" t="s">
        <v>30</v>
      </c>
      <c r="B17" s="2" t="s">
        <v>31</v>
      </c>
      <c r="C17" s="6">
        <v>4</v>
      </c>
      <c r="D17" s="6" t="s">
        <v>26</v>
      </c>
      <c r="E17" s="7">
        <v>45449</v>
      </c>
      <c r="F17" s="8">
        <v>0.61111111111111105</v>
      </c>
    </row>
    <row r="18" spans="1:6" x14ac:dyDescent="0.25">
      <c r="A18" s="2" t="s">
        <v>32</v>
      </c>
      <c r="B18" s="2" t="s">
        <v>33</v>
      </c>
      <c r="C18" s="6">
        <v>6</v>
      </c>
      <c r="D18" s="6" t="s">
        <v>23</v>
      </c>
      <c r="E18" s="7">
        <v>45452</v>
      </c>
      <c r="F18" s="8">
        <v>0.58333333333333337</v>
      </c>
    </row>
    <row r="19" spans="1:6" x14ac:dyDescent="0.25">
      <c r="A19" s="2" t="s">
        <v>35</v>
      </c>
      <c r="B19" s="2" t="s">
        <v>36</v>
      </c>
      <c r="C19" s="6">
        <v>8</v>
      </c>
      <c r="D19" s="6" t="s">
        <v>24</v>
      </c>
      <c r="E19" s="7">
        <v>45456</v>
      </c>
      <c r="F19" s="8">
        <v>0.47222222222222227</v>
      </c>
    </row>
    <row r="20" spans="1:6" x14ac:dyDescent="0.25">
      <c r="A20" s="2" t="s">
        <v>37</v>
      </c>
      <c r="B20" s="2" t="s">
        <v>18</v>
      </c>
      <c r="C20" s="6">
        <v>3</v>
      </c>
      <c r="D20" s="6" t="s">
        <v>21</v>
      </c>
      <c r="E20" s="7">
        <v>45454</v>
      </c>
      <c r="F20" s="8">
        <v>0.60416666666666663</v>
      </c>
    </row>
    <row r="21" spans="1:6" x14ac:dyDescent="0.25">
      <c r="A21" s="2" t="s">
        <v>38</v>
      </c>
      <c r="B21" s="2" t="s">
        <v>39</v>
      </c>
      <c r="C21" s="6">
        <v>6</v>
      </c>
      <c r="D21" s="6" t="s">
        <v>21</v>
      </c>
      <c r="E21" s="7">
        <v>45454</v>
      </c>
      <c r="F21" s="8">
        <v>0.63888888888888895</v>
      </c>
    </row>
    <row r="22" spans="1:6" x14ac:dyDescent="0.25">
      <c r="A22" s="2" t="s">
        <v>40</v>
      </c>
      <c r="B22" s="2" t="s">
        <v>41</v>
      </c>
      <c r="C22" s="6">
        <v>8</v>
      </c>
      <c r="D22" s="6" t="s">
        <v>23</v>
      </c>
      <c r="E22" s="7">
        <v>45452</v>
      </c>
      <c r="F22" s="8">
        <v>0.625</v>
      </c>
    </row>
    <row r="23" spans="1:6" x14ac:dyDescent="0.25">
      <c r="A23" s="2" t="s">
        <v>42</v>
      </c>
      <c r="B23" s="2" t="s">
        <v>18</v>
      </c>
      <c r="C23" s="6">
        <v>5</v>
      </c>
      <c r="D23" s="6" t="s">
        <v>22</v>
      </c>
      <c r="E23" s="7">
        <v>45458</v>
      </c>
      <c r="F23" s="8">
        <v>0.60416666666666663</v>
      </c>
    </row>
    <row r="25" spans="1:6" ht="18.75" x14ac:dyDescent="0.3">
      <c r="A25" s="12" t="s">
        <v>44</v>
      </c>
      <c r="B25" s="16" t="s">
        <v>46</v>
      </c>
      <c r="C25" s="17" t="s">
        <v>47</v>
      </c>
    </row>
    <row r="26" spans="1:6" x14ac:dyDescent="0.25">
      <c r="A26" s="3" t="s">
        <v>45</v>
      </c>
      <c r="B26" s="18" t="s">
        <v>30</v>
      </c>
      <c r="C26" s="6" t="str">
        <f t="shared" ref="C26:C31" si="0">VLOOKUP(Pupil_name,Pupil_table,MATCH(A26,$A$3:$F$3,0),0)</f>
        <v>Gregory H Jones</v>
      </c>
      <c r="D26"/>
    </row>
    <row r="27" spans="1:6" x14ac:dyDescent="0.25">
      <c r="A27" s="3" t="s">
        <v>11</v>
      </c>
      <c r="B27" s="13" t="str">
        <f>VLOOKUP(Pupil_name,Pupil_table,2,FALSE)</f>
        <v>Trumpet</v>
      </c>
      <c r="C27" s="19" t="str">
        <f t="shared" si="0"/>
        <v>Trumpet</v>
      </c>
      <c r="D27"/>
    </row>
    <row r="28" spans="1:6" x14ac:dyDescent="0.25">
      <c r="A28" s="3" t="s">
        <v>12</v>
      </c>
      <c r="B28" s="13">
        <f>VLOOKUP(Pupil_name,Pupil_table,3,FALSE)</f>
        <v>4</v>
      </c>
      <c r="C28" s="19">
        <f t="shared" si="0"/>
        <v>4</v>
      </c>
      <c r="D28"/>
    </row>
    <row r="29" spans="1:6" x14ac:dyDescent="0.25">
      <c r="A29" s="3" t="s">
        <v>13</v>
      </c>
      <c r="B29" s="13" t="str">
        <f>VLOOKUP(Pupil_name,Pupil_table,4,FALSE)</f>
        <v>Edinburgh</v>
      </c>
      <c r="C29" s="19" t="str">
        <f t="shared" si="0"/>
        <v>Edinburgh</v>
      </c>
      <c r="D29"/>
    </row>
    <row r="30" spans="1:6" x14ac:dyDescent="0.25">
      <c r="A30" s="3" t="s">
        <v>14</v>
      </c>
      <c r="B30" s="14">
        <f>VLOOKUP(Pupil_name,Pupil_table,5,FALSE)</f>
        <v>45449</v>
      </c>
      <c r="C30" s="20">
        <f t="shared" si="0"/>
        <v>45449</v>
      </c>
      <c r="D30"/>
    </row>
    <row r="31" spans="1:6" x14ac:dyDescent="0.25">
      <c r="A31" s="3" t="s">
        <v>15</v>
      </c>
      <c r="B31" s="15">
        <f>VLOOKUP(Pupil_name,Pupil_table,6,FALSE)</f>
        <v>0.61111111111111105</v>
      </c>
      <c r="C31" s="21">
        <f t="shared" si="0"/>
        <v>0.61111111111111105</v>
      </c>
      <c r="D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Task 1</vt:lpstr>
      <vt:lpstr>Task 2</vt:lpstr>
      <vt:lpstr>'Task 1'!Centre_Dates</vt:lpstr>
      <vt:lpstr>Centre_Dates</vt:lpstr>
      <vt:lpstr>'Task 1'!Pupil_name</vt:lpstr>
      <vt:lpstr>Pupil_name</vt:lpstr>
      <vt:lpstr>'Task 1'!Pupil_table</vt:lpstr>
      <vt:lpstr>Pupil_table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2018-03-18T16:01:44Z</dcterms:created>
  <dcterms:modified xsi:type="dcterms:W3CDTF">2026-10-07T03:39:29Z</dcterms:modified>
</cp:coreProperties>
</file>