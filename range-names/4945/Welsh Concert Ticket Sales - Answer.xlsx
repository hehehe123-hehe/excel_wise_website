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ortofolio Project\Excel\qf-3763\"/>
    </mc:Choice>
  </mc:AlternateContent>
  <xr:revisionPtr revIDLastSave="0" documentId="8_{4E4BA552-7590-4F8E-B6D8-5BB849CEF18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Adult">'Task 2'!$B1*'Task 2'!$B$11</definedName>
    <definedName name="Adult_Ticket_Price" localSheetId="0">'Task 1'!$B$11</definedName>
    <definedName name="Adult_Ticket_Price">'Task 2'!$B$11</definedName>
    <definedName name="child">'Task 2'!$B$12*'Task 2'!$C1</definedName>
    <definedName name="Child_Ticket_Price" localSheetId="0">'Task 1'!$B$12</definedName>
    <definedName name="Child_Ticket_Price">'Task 2'!$B$12</definedName>
    <definedName name="concession">'Task 2'!$D1*'Task 2'!$B$13</definedName>
    <definedName name="Concession_Ticket_Price" localSheetId="0">'Task 1'!$B$13</definedName>
    <definedName name="Concession_Ticket_Price">'Task 2'!$B$13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 a="1"/>
  <c r="E6" i="1" a="1"/>
  <c r="E7" i="1" a="1"/>
  <c r="E8" i="1" a="1"/>
  <c r="E4" i="1" a="1"/>
  <c r="D9" i="2"/>
  <c r="C9" i="2"/>
  <c r="B9" i="2"/>
  <c r="E8" i="2"/>
  <c r="E7" i="2"/>
  <c r="E6" i="2"/>
  <c r="E5" i="2"/>
  <c r="E4" i="2"/>
  <c r="E9" i="2" s="1"/>
  <c r="E9" i="1"/>
  <c r="B9" i="1"/>
  <c r="C9" i="1"/>
  <c r="D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<sst xmlns="http://schemas.openxmlformats.org/spreadsheetml/2006/main" count="30" uniqueCount="15">
  <si>
    <t>Revenue</t>
  </si>
  <si>
    <t>CONCERT TOTALS</t>
  </si>
  <si>
    <t>Adult Ticket Price</t>
  </si>
  <si>
    <t>Child Ticket Price</t>
  </si>
  <si>
    <t>Adult Ticket Sales</t>
  </si>
  <si>
    <t>Child Ticket Sales</t>
  </si>
  <si>
    <t>Concession Ticket Sales</t>
  </si>
  <si>
    <t>Concession Ticket Price</t>
  </si>
  <si>
    <t>Metallica</t>
  </si>
  <si>
    <t>Artist</t>
  </si>
  <si>
    <t>The Bootleg Beatles</t>
  </si>
  <si>
    <t>Bjorn Again</t>
  </si>
  <si>
    <t>Tom Jones</t>
  </si>
  <si>
    <t>Pontypridd Community Centre Events Income</t>
  </si>
  <si>
    <t>Welsh Male Voice Choir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</si>
</sst>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wrapText="1"/>
    </xf>
    <xf numFmtId="164" fontId="3" fillId="2" borderId="1" xfId="0" applyNumberFormat="1" applyFont="1" applyFill="1" applyBorder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164" fontId="5" fillId="3" borderId="1" xfId="0" applyNumberFormat="1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4334-EFCF-49DF-8FFC-15F33CF9F1CE}">
  <dimension ref="A1:E13"/>
  <sheetViews>
    <sheetView zoomScaleNormal="100" workbookViewId="0">
      <selection activeCell="G7" sqref="G7"/>
    </sheetView>
  </sheetViews>
  <sheetFormatPr defaultRowHeight="15" x14ac:dyDescent="0.25"/>
  <cols>
    <col min="1" max="1" width="20.42578125" customWidth="1"/>
    <col min="2" max="2" width="6.42578125" customWidth="1"/>
    <col min="3" max="3" width="6.28515625" customWidth="1"/>
    <col min="4" max="4" width="10.28515625" customWidth="1"/>
    <col min="5" max="5" width="9.7109375" bestFit="1" customWidth="1"/>
  </cols>
  <sheetData>
    <row r="1" spans="1:5" ht="18.75" x14ac:dyDescent="0.3">
      <c r="A1" s="6" t="s">
        <v>13</v>
      </c>
      <c r="B1" s="2"/>
      <c r="C1" s="2"/>
      <c r="D1" s="2"/>
      <c r="E1" s="2"/>
    </row>
    <row r="2" spans="1:5" ht="15.75" x14ac:dyDescent="0.25">
      <c r="A2" s="1"/>
      <c r="B2" s="14"/>
      <c r="C2" s="14"/>
      <c r="D2" s="14"/>
      <c r="E2" s="14"/>
    </row>
    <row r="3" spans="1:5" ht="45" x14ac:dyDescent="0.25">
      <c r="A3" s="7" t="s">
        <v>9</v>
      </c>
      <c r="B3" s="3" t="s">
        <v>4</v>
      </c>
      <c r="C3" s="3" t="s">
        <v>5</v>
      </c>
      <c r="D3" s="3" t="s">
        <v>6</v>
      </c>
      <c r="E3" s="11" t="s">
        <v>0</v>
      </c>
    </row>
    <row r="4" spans="1:5" x14ac:dyDescent="0.25">
      <c r="A4" s="8" t="s">
        <v>14</v>
      </c>
      <c r="B4" s="10">
        <v>95</v>
      </c>
      <c r="C4" s="10">
        <v>15</v>
      </c>
      <c r="D4" s="10">
        <v>45</v>
      </c>
      <c r="E4" s="12">
        <f>(B4*Adult_Ticket_Price)+(C4*Child_Ticket_Price)+(D4*Concession_Ticket_Price)</f>
        <v>1117.75</v>
      </c>
    </row>
    <row r="5" spans="1:5" x14ac:dyDescent="0.25">
      <c r="A5" s="8" t="s">
        <v>8</v>
      </c>
      <c r="B5" s="10">
        <v>115</v>
      </c>
      <c r="C5" s="10">
        <v>2</v>
      </c>
      <c r="D5" s="10">
        <v>8</v>
      </c>
      <c r="E5" s="12">
        <f>(B5*Adult_Ticket_Price)+(C5*Child_Ticket_Price)+(D5*Concession_Ticket_Price)</f>
        <v>1174.25</v>
      </c>
    </row>
    <row r="6" spans="1:5" x14ac:dyDescent="0.25">
      <c r="A6" s="9" t="s">
        <v>12</v>
      </c>
      <c r="B6" s="4">
        <v>235</v>
      </c>
      <c r="C6" s="4">
        <v>55</v>
      </c>
      <c r="D6" s="4">
        <v>162</v>
      </c>
      <c r="E6" s="12">
        <f>(B6*Adult_Ticket_Price)+(C6*Child_Ticket_Price)+(D6*Concession_Ticket_Price)</f>
        <v>2960.25</v>
      </c>
    </row>
    <row r="7" spans="1:5" x14ac:dyDescent="0.25">
      <c r="A7" s="9" t="s">
        <v>10</v>
      </c>
      <c r="B7" s="4">
        <v>100</v>
      </c>
      <c r="C7" s="4">
        <v>4</v>
      </c>
      <c r="D7" s="4">
        <v>35</v>
      </c>
      <c r="E7" s="12">
        <f>(B7*Adult_Ticket_Price)+(C7*Child_Ticket_Price)+(D7*Concession_Ticket_Price)</f>
        <v>1121.5</v>
      </c>
    </row>
    <row r="8" spans="1:5" x14ac:dyDescent="0.25">
      <c r="A8" s="9" t="s">
        <v>11</v>
      </c>
      <c r="B8" s="4">
        <v>61</v>
      </c>
      <c r="C8" s="4">
        <v>2</v>
      </c>
      <c r="D8" s="4">
        <v>38</v>
      </c>
      <c r="E8" s="12">
        <f>(B8*Adult_Ticket_Price)+(C8*Child_Ticket_Price)+(D8*Concession_Ticket_Price)</f>
        <v>741.94999999999993</v>
      </c>
    </row>
    <row r="9" spans="1:5" x14ac:dyDescent="0.25">
      <c r="A9" t="s">
        <v>1</v>
      </c>
      <c r="B9" s="4">
        <f t="shared" ref="B9:E9" si="0">SUM(B4:B8)</f>
        <v>606</v>
      </c>
      <c r="C9" s="4">
        <f t="shared" si="0"/>
        <v>78</v>
      </c>
      <c r="D9" s="4">
        <f t="shared" si="0"/>
        <v>288</v>
      </c>
      <c r="E9" s="13">
        <f t="shared" si="0"/>
        <v>7115.7</v>
      </c>
    </row>
    <row r="10" spans="1:5" x14ac:dyDescent="0.25">
      <c r="B10" s="2"/>
      <c r="C10" s="2"/>
      <c r="D10" s="2"/>
      <c r="E10" s="2"/>
    </row>
    <row r="11" spans="1:5" x14ac:dyDescent="0.25">
      <c r="A11" t="s">
        <v>2</v>
      </c>
      <c r="B11" s="5">
        <v>9.9499999999999993</v>
      </c>
      <c r="C11" s="2"/>
      <c r="D11" s="2"/>
      <c r="E11" s="2"/>
    </row>
    <row r="12" spans="1:5" x14ac:dyDescent="0.25">
      <c r="A12" t="s">
        <v>3</v>
      </c>
      <c r="B12" s="5">
        <v>1</v>
      </c>
      <c r="C12" s="2"/>
      <c r="D12" s="2"/>
      <c r="E12" s="2"/>
    </row>
    <row r="13" spans="1:5" x14ac:dyDescent="0.25">
      <c r="A13" t="s">
        <v>7</v>
      </c>
      <c r="B13" s="5">
        <v>3.5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G7" sqref="G7"/>
    </sheetView>
  </sheetViews>
  <sheetFormatPr defaultRowHeight="15" x14ac:dyDescent="0.25"/>
  <cols>
    <col min="1" max="1" width="20.42578125" customWidth="1"/>
    <col min="2" max="2" width="6.42578125" customWidth="1"/>
    <col min="3" max="3" width="6.28515625" customWidth="1"/>
    <col min="4" max="4" width="10.28515625" customWidth="1"/>
    <col min="5" max="5" width="9.7109375" bestFit="1" customWidth="1"/>
  </cols>
  <sheetData>
    <row r="1" spans="1:5" ht="18.75" x14ac:dyDescent="0.3">
      <c r="A1" s="6" t="s">
        <v>13</v>
      </c>
      <c r="B1" s="2"/>
      <c r="C1" s="2"/>
      <c r="D1" s="2"/>
      <c r="E1" s="2"/>
    </row>
    <row r="2" spans="1:5" ht="15.75" x14ac:dyDescent="0.25">
      <c r="A2" s="1"/>
      <c r="B2" s="14"/>
      <c r="C2" s="14"/>
      <c r="D2" s="14"/>
      <c r="E2" s="14"/>
    </row>
    <row r="3" spans="1:5" ht="45" x14ac:dyDescent="0.25">
      <c r="A3" s="7" t="s">
        <v>9</v>
      </c>
      <c r="B3" s="3" t="s">
        <v>4</v>
      </c>
      <c r="C3" s="3" t="s">
        <v>5</v>
      </c>
      <c r="D3" s="3" t="s">
        <v>6</v>
      </c>
      <c r="E3" s="11" t="s">
        <v>0</v>
      </c>
    </row>
    <row r="4" spans="1:5" x14ac:dyDescent="0.25">
      <c r="A4" s="8" t="s">
        <v>14</v>
      </c>
      <c r="B4" s="10">
        <v>95</v>
      </c>
      <c r="C4" s="10">
        <v>15</v>
      </c>
      <c r="D4" s="10">
        <v>45</v>
      </c>
      <c r="E4" s="12" cm="1">
        <f t="array" ref="E4">Adult+child+concession</f>
        <v>1350</v>
      </c>
    </row>
    <row r="5" spans="1:5" x14ac:dyDescent="0.25">
      <c r="A5" s="8" t="s">
        <v>8</v>
      </c>
      <c r="B5" s="10">
        <v>115</v>
      </c>
      <c r="C5" s="10">
        <v>2</v>
      </c>
      <c r="D5" s="10">
        <v>8</v>
      </c>
      <c r="E5" s="12" cm="1">
        <f t="array" ref="E5">Adult+child+concession</f>
        <v>1416</v>
      </c>
    </row>
    <row r="6" spans="1:5" x14ac:dyDescent="0.25">
      <c r="A6" s="9" t="s">
        <v>12</v>
      </c>
      <c r="B6" s="4">
        <v>235</v>
      </c>
      <c r="C6" s="4">
        <v>55</v>
      </c>
      <c r="D6" s="4">
        <v>162</v>
      </c>
      <c r="E6" s="12" cm="1">
        <f t="array" ref="E6">Adult+child+concession</f>
        <v>3578</v>
      </c>
    </row>
    <row r="7" spans="1:5" x14ac:dyDescent="0.25">
      <c r="A7" s="9" t="s">
        <v>10</v>
      </c>
      <c r="B7" s="4">
        <v>100</v>
      </c>
      <c r="C7" s="4">
        <v>4</v>
      </c>
      <c r="D7" s="4">
        <v>35</v>
      </c>
      <c r="E7" s="12" cm="1">
        <f t="array" ref="E7">Adult+child+concession</f>
        <v>1348</v>
      </c>
    </row>
    <row r="8" spans="1:5" x14ac:dyDescent="0.25">
      <c r="A8" s="9" t="s">
        <v>11</v>
      </c>
      <c r="B8" s="4">
        <v>61</v>
      </c>
      <c r="C8" s="4">
        <v>2</v>
      </c>
      <c r="D8" s="4">
        <v>38</v>
      </c>
      <c r="E8" s="12" cm="1">
        <f t="array" ref="E8">Adult+child+concession</f>
        <v>888</v>
      </c>
    </row>
    <row r="9" spans="1:5" x14ac:dyDescent="0.25">
      <c r="A9" t="s">
        <v>1</v>
      </c>
      <c r="B9" s="4">
        <f t="shared" ref="B9:E9" si="0">SUM(B4:B8)</f>
        <v>606</v>
      </c>
      <c r="C9" s="4">
        <f t="shared" si="0"/>
        <v>78</v>
      </c>
      <c r="D9" s="4">
        <f t="shared" si="0"/>
        <v>288</v>
      </c>
      <c r="E9" s="13">
        <f t="shared" si="0"/>
        <v>8580</v>
      </c>
    </row>
    <row r="10" spans="1:5" x14ac:dyDescent="0.25">
      <c r="B10" s="2"/>
      <c r="C10" s="2"/>
      <c r="D10" s="2"/>
      <c r="E10" s="2"/>
    </row>
    <row r="11" spans="1:5" x14ac:dyDescent="0.25">
      <c r="A11" t="s">
        <v>2</v>
      </c>
      <c r="B11" s="5">
        <v>12</v>
      </c>
      <c r="C11" s="2"/>
      <c r="D11" s="2"/>
      <c r="E11" s="2"/>
    </row>
    <row r="12" spans="1:5" x14ac:dyDescent="0.25">
      <c r="A12" t="s">
        <v>3</v>
      </c>
      <c r="B12" s="5">
        <v>2</v>
      </c>
      <c r="C12" s="2"/>
      <c r="D12" s="2"/>
      <c r="E12" s="2"/>
    </row>
    <row r="13" spans="1:5" x14ac:dyDescent="0.25">
      <c r="A13" t="s">
        <v>7</v>
      </c>
      <c r="B13" s="5">
        <v>4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Task 1</vt:lpstr>
      <vt:lpstr>Task 2</vt:lpstr>
      <vt:lpstr>'Task 1'!Adult_Ticket_Price</vt:lpstr>
      <vt:lpstr>Adult_Ticket_Price</vt:lpstr>
      <vt:lpstr>'Task 1'!Child_Ticket_Price</vt:lpstr>
      <vt:lpstr>Child_Ticket_Price</vt:lpstr>
      <vt:lpstr>'Task 1'!Concession_Ticket_Price</vt:lpstr>
      <vt:lpstr>Concession_Ticket_Price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2015-03-27T10:04:53Z</dcterms:created>
  <dcterms:modified xsi:type="dcterms:W3CDTF">2026-09-27T02:13:37Z</dcterms:modified>
</cp:coreProperties>
</file>