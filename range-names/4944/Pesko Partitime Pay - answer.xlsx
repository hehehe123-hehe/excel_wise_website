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61\"/>
    </mc:Choice>
  </mc:AlternateContent>
  <xr:revisionPtr revIDLastSave="0" documentId="8_{6ADA52D8-ECC2-49FF-877C-C71C0DF5BC7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Hourly_Pay_Rate" localSheetId="0">'Task 1'!$B$19</definedName>
    <definedName name="Hourly_Pay_Rate">'Task 2'!$B$19</definedName>
    <definedName name="Nat_Ins_Rate" localSheetId="0">'Task 1'!$B$20</definedName>
    <definedName name="Nat_Ins_Rate">'Task 2'!$B$20</definedName>
    <definedName name="Tax_Rate" localSheetId="0">'Task 1'!$B$21</definedName>
    <definedName name="Tax_Rate">'Task 2'!$B$21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E15" i="2"/>
  <c r="E14" i="2"/>
  <c r="E13" i="2"/>
  <c r="E12" i="2"/>
  <c r="E11" i="2"/>
  <c r="E10" i="2"/>
  <c r="E9" i="2"/>
  <c r="E8" i="2"/>
  <c r="E7" i="2"/>
  <c r="E6" i="2"/>
  <c r="E5" i="2"/>
  <c r="E4" i="2"/>
  <c r="E5" i="1"/>
  <c r="E6" i="1"/>
  <c r="E7" i="1"/>
  <c r="E8" i="1"/>
  <c r="E9" i="1"/>
  <c r="E10" i="1"/>
  <c r="E11" i="1"/>
  <c r="E12" i="1"/>
  <c r="E13" i="1"/>
  <c r="E14" i="1"/>
  <c r="E15" i="1"/>
  <c r="E4" i="1"/>
  <c r="G15" i="2" l="1"/>
  <c r="F15" i="2"/>
  <c r="H15" i="2" s="1"/>
  <c r="F14" i="2"/>
  <c r="G14" i="2"/>
  <c r="H14" i="2" s="1"/>
  <c r="G13" i="2"/>
  <c r="F13" i="2"/>
  <c r="H13" i="2" s="1"/>
  <c r="G12" i="2"/>
  <c r="F12" i="2"/>
  <c r="H12" i="2" s="1"/>
  <c r="F11" i="2"/>
  <c r="G11" i="2"/>
  <c r="H11" i="2"/>
  <c r="G10" i="2"/>
  <c r="F10" i="2"/>
  <c r="H10" i="2" s="1"/>
  <c r="G9" i="2"/>
  <c r="F9" i="2"/>
  <c r="H9" i="2" s="1"/>
  <c r="F8" i="2"/>
  <c r="G8" i="2"/>
  <c r="H8" i="2"/>
  <c r="G7" i="2"/>
  <c r="H7" i="2" s="1"/>
  <c r="F7" i="2"/>
  <c r="G6" i="2"/>
  <c r="F6" i="2"/>
  <c r="H6" i="2" s="1"/>
  <c r="F5" i="2"/>
  <c r="G5" i="2"/>
  <c r="H5" i="2" s="1"/>
  <c r="E16" i="2"/>
  <c r="G4" i="2"/>
  <c r="G16" i="2" s="1"/>
  <c r="F4" i="2"/>
  <c r="F5" i="1"/>
  <c r="G5" i="1"/>
  <c r="G6" i="1"/>
  <c r="F6" i="1"/>
  <c r="F7" i="1"/>
  <c r="G7" i="1"/>
  <c r="G8" i="1"/>
  <c r="F8" i="1"/>
  <c r="F9" i="1"/>
  <c r="G9" i="1"/>
  <c r="G10" i="1"/>
  <c r="F10" i="1"/>
  <c r="F11" i="1"/>
  <c r="G11" i="1"/>
  <c r="G12" i="1"/>
  <c r="F12" i="1"/>
  <c r="G13" i="1"/>
  <c r="F13" i="1"/>
  <c r="G14" i="1"/>
  <c r="F14" i="1"/>
  <c r="G15" i="1"/>
  <c r="F15" i="1"/>
  <c r="E16" i="1"/>
  <c r="G4" i="1"/>
  <c r="G16" i="1" s="1"/>
  <c r="F4" i="1"/>
  <c r="F16" i="1" s="1"/>
  <c r="H9" i="1"/>
  <c r="H11" i="1"/>
  <c r="F16" i="2" l="1"/>
  <c r="H4" i="2"/>
  <c r="H16" i="2" s="1"/>
  <c r="H12" i="1"/>
  <c r="H4" i="1"/>
  <c r="H7" i="1"/>
  <c r="H14" i="1"/>
  <c r="H6" i="1"/>
  <c r="H15" i="1"/>
  <c r="H8" i="1"/>
  <c r="H13" i="1"/>
  <c r="H10" i="1"/>
  <c r="H5" i="1"/>
  <c r="D16" i="1"/>
  <c r="H16" i="1" l="1"/>
</calcChain>
</file>

<file path=xl/sharedStrings.xml><?xml version="1.0" encoding="utf-8"?>
<sst xmlns="http://schemas.openxmlformats.org/spreadsheetml/2006/main" count="98" uniqueCount="46">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</sst>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0" fillId="2" borderId="1" xfId="0" applyNumberFormat="1" applyFill="1" applyBorder="1"/>
    <xf numFmtId="165" fontId="0" fillId="2" borderId="1" xfId="0" applyNumberFormat="1" applyFill="1" applyBorder="1"/>
    <xf numFmtId="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3CA6-AC09-4B9A-8B49-7AC76E6B6FFE}">
  <dimension ref="A1:H25"/>
  <sheetViews>
    <sheetView zoomScaleNormal="100" workbookViewId="0">
      <selection activeCell="G4" sqref="G4:G15"/>
    </sheetView>
  </sheetViews>
  <sheetFormatPr defaultRowHeight="15" x14ac:dyDescent="0.25"/>
  <cols>
    <col min="1" max="1" width="14" customWidth="1"/>
    <col min="2" max="2" width="10.28515625" customWidth="1"/>
    <col min="3" max="3" width="8.85546875" style="3" customWidth="1"/>
    <col min="4" max="4" width="7" customWidth="1"/>
    <col min="5" max="5" width="7.5703125" bestFit="1" customWidth="1"/>
    <col min="6" max="6" width="8.5703125" customWidth="1"/>
    <col min="7" max="7" width="8.140625" bestFit="1" customWidth="1"/>
    <col min="8" max="8" width="8.42578125" customWidth="1"/>
    <col min="9" max="12" width="8.5703125" customWidth="1"/>
  </cols>
  <sheetData>
    <row r="1" spans="1:8" ht="21" x14ac:dyDescent="0.35">
      <c r="A1" s="1" t="s">
        <v>0</v>
      </c>
    </row>
    <row r="3" spans="1:8" s="10" customFormat="1" ht="27.95" customHeight="1" x14ac:dyDescent="0.25">
      <c r="A3" s="11" t="s">
        <v>1</v>
      </c>
      <c r="B3" s="11" t="s">
        <v>2</v>
      </c>
      <c r="C3" s="12" t="s">
        <v>3</v>
      </c>
      <c r="D3" s="13" t="s">
        <v>4</v>
      </c>
      <c r="E3" s="13" t="s">
        <v>42</v>
      </c>
      <c r="F3" s="13" t="s">
        <v>5</v>
      </c>
      <c r="G3" s="13" t="s">
        <v>43</v>
      </c>
      <c r="H3" s="13" t="s">
        <v>44</v>
      </c>
    </row>
    <row r="4" spans="1:8" x14ac:dyDescent="0.25">
      <c r="A4" s="2" t="s">
        <v>9</v>
      </c>
      <c r="B4" s="2" t="s">
        <v>21</v>
      </c>
      <c r="C4" s="4" t="s">
        <v>32</v>
      </c>
      <c r="D4" s="2">
        <v>16</v>
      </c>
      <c r="E4" s="6">
        <f>D4*Hourly_Pay_Rate</f>
        <v>140</v>
      </c>
      <c r="F4" s="6">
        <f>E4*Nat_Ins_Rate</f>
        <v>13.72</v>
      </c>
      <c r="G4" s="7">
        <f>E4*Tax_Rate</f>
        <v>28</v>
      </c>
      <c r="H4" s="6">
        <f t="shared" ref="H4:H15" si="0">E4-SUM(F4:G4)</f>
        <v>98.28</v>
      </c>
    </row>
    <row r="5" spans="1:8" x14ac:dyDescent="0.25">
      <c r="A5" s="2" t="s">
        <v>10</v>
      </c>
      <c r="B5" s="2" t="s">
        <v>22</v>
      </c>
      <c r="C5" s="4" t="s">
        <v>33</v>
      </c>
      <c r="D5" s="2">
        <v>18</v>
      </c>
      <c r="E5" s="6">
        <f>D5*Hourly_Pay_Rate</f>
        <v>157.5</v>
      </c>
      <c r="F5" s="6">
        <f>E5*Nat_Ins_Rate</f>
        <v>15.435</v>
      </c>
      <c r="G5" s="7">
        <f>E5*Tax_Rate</f>
        <v>31.5</v>
      </c>
      <c r="H5" s="6">
        <f t="shared" si="0"/>
        <v>110.565</v>
      </c>
    </row>
    <row r="6" spans="1:8" x14ac:dyDescent="0.25">
      <c r="A6" s="2" t="s">
        <v>11</v>
      </c>
      <c r="B6" s="2" t="s">
        <v>23</v>
      </c>
      <c r="C6" s="4" t="s">
        <v>33</v>
      </c>
      <c r="D6" s="2">
        <v>22</v>
      </c>
      <c r="E6" s="6">
        <f>D6*Hourly_Pay_Rate</f>
        <v>192.5</v>
      </c>
      <c r="F6" s="6">
        <f>E6*Nat_Ins_Rate</f>
        <v>18.865000000000002</v>
      </c>
      <c r="G6" s="7">
        <f>E6*Tax_Rate</f>
        <v>38.5</v>
      </c>
      <c r="H6" s="6">
        <f t="shared" si="0"/>
        <v>135.13499999999999</v>
      </c>
    </row>
    <row r="7" spans="1:8" x14ac:dyDescent="0.25">
      <c r="A7" s="2" t="s">
        <v>12</v>
      </c>
      <c r="B7" s="2" t="s">
        <v>25</v>
      </c>
      <c r="C7" s="4" t="s">
        <v>34</v>
      </c>
      <c r="D7" s="2">
        <v>19</v>
      </c>
      <c r="E7" s="6">
        <f>D7*Hourly_Pay_Rate</f>
        <v>166.25</v>
      </c>
      <c r="F7" s="6">
        <f>E7*Nat_Ins_Rate</f>
        <v>16.2925</v>
      </c>
      <c r="G7" s="7">
        <f>E7*Tax_Rate</f>
        <v>33.25</v>
      </c>
      <c r="H7" s="6">
        <f t="shared" si="0"/>
        <v>116.7075</v>
      </c>
    </row>
    <row r="8" spans="1:8" x14ac:dyDescent="0.25">
      <c r="A8" s="2" t="s">
        <v>13</v>
      </c>
      <c r="B8" s="2" t="s">
        <v>24</v>
      </c>
      <c r="C8" s="4" t="s">
        <v>35</v>
      </c>
      <c r="D8" s="2">
        <v>18</v>
      </c>
      <c r="E8" s="6">
        <f>D8*Hourly_Pay_Rate</f>
        <v>157.5</v>
      </c>
      <c r="F8" s="6">
        <f>E8*Nat_Ins_Rate</f>
        <v>15.435</v>
      </c>
      <c r="G8" s="7">
        <f>E8*Tax_Rate</f>
        <v>31.5</v>
      </c>
      <c r="H8" s="6">
        <f t="shared" si="0"/>
        <v>110.565</v>
      </c>
    </row>
    <row r="9" spans="1:8" x14ac:dyDescent="0.25">
      <c r="A9" s="2" t="s">
        <v>14</v>
      </c>
      <c r="B9" s="2" t="s">
        <v>24</v>
      </c>
      <c r="C9" s="4" t="s">
        <v>36</v>
      </c>
      <c r="D9" s="2">
        <v>18</v>
      </c>
      <c r="E9" s="6">
        <f>D9*Hourly_Pay_Rate</f>
        <v>157.5</v>
      </c>
      <c r="F9" s="6">
        <f>E9*Nat_Ins_Rate</f>
        <v>15.435</v>
      </c>
      <c r="G9" s="7">
        <f>E9*Tax_Rate</f>
        <v>31.5</v>
      </c>
      <c r="H9" s="6">
        <f t="shared" si="0"/>
        <v>110.565</v>
      </c>
    </row>
    <row r="10" spans="1:8" x14ac:dyDescent="0.25">
      <c r="A10" s="2" t="s">
        <v>15</v>
      </c>
      <c r="B10" s="2" t="s">
        <v>26</v>
      </c>
      <c r="C10" s="4" t="s">
        <v>37</v>
      </c>
      <c r="D10" s="2">
        <v>12</v>
      </c>
      <c r="E10" s="6">
        <f>D10*Hourly_Pay_Rate</f>
        <v>105</v>
      </c>
      <c r="F10" s="6">
        <f>E10*Nat_Ins_Rate</f>
        <v>10.290000000000001</v>
      </c>
      <c r="G10" s="7">
        <f>E10*Tax_Rate</f>
        <v>21</v>
      </c>
      <c r="H10" s="6">
        <f t="shared" si="0"/>
        <v>73.710000000000008</v>
      </c>
    </row>
    <row r="11" spans="1:8" x14ac:dyDescent="0.25">
      <c r="A11" s="2" t="s">
        <v>16</v>
      </c>
      <c r="B11" s="2" t="s">
        <v>28</v>
      </c>
      <c r="C11" s="4" t="s">
        <v>38</v>
      </c>
      <c r="D11" s="2">
        <v>16</v>
      </c>
      <c r="E11" s="6">
        <f>D11*Hourly_Pay_Rate</f>
        <v>140</v>
      </c>
      <c r="F11" s="6">
        <f>E11*Nat_Ins_Rate</f>
        <v>13.72</v>
      </c>
      <c r="G11" s="7">
        <f>E11*Tax_Rate</f>
        <v>28</v>
      </c>
      <c r="H11" s="6">
        <f t="shared" si="0"/>
        <v>98.28</v>
      </c>
    </row>
    <row r="12" spans="1:8" x14ac:dyDescent="0.25">
      <c r="A12" s="2" t="s">
        <v>17</v>
      </c>
      <c r="B12" s="2" t="s">
        <v>27</v>
      </c>
      <c r="C12" s="4" t="s">
        <v>39</v>
      </c>
      <c r="D12" s="2">
        <v>16</v>
      </c>
      <c r="E12" s="6">
        <f>D12*Hourly_Pay_Rate</f>
        <v>140</v>
      </c>
      <c r="F12" s="6">
        <f>E12*Nat_Ins_Rate</f>
        <v>13.72</v>
      </c>
      <c r="G12" s="7">
        <f>E12*Tax_Rate</f>
        <v>28</v>
      </c>
      <c r="H12" s="6">
        <f t="shared" si="0"/>
        <v>98.28</v>
      </c>
    </row>
    <row r="13" spans="1:8" x14ac:dyDescent="0.25">
      <c r="A13" s="2" t="s">
        <v>18</v>
      </c>
      <c r="B13" s="2" t="s">
        <v>29</v>
      </c>
      <c r="C13" s="4" t="s">
        <v>39</v>
      </c>
      <c r="D13" s="2">
        <v>18</v>
      </c>
      <c r="E13" s="6">
        <f>D13*Hourly_Pay_Rate</f>
        <v>157.5</v>
      </c>
      <c r="F13" s="6">
        <f>E13*Nat_Ins_Rate</f>
        <v>15.435</v>
      </c>
      <c r="G13" s="7">
        <f>E13*Tax_Rate</f>
        <v>31.5</v>
      </c>
      <c r="H13" s="6">
        <f t="shared" si="0"/>
        <v>110.565</v>
      </c>
    </row>
    <row r="14" spans="1:8" x14ac:dyDescent="0.25">
      <c r="A14" s="2" t="s">
        <v>19</v>
      </c>
      <c r="B14" s="2" t="s">
        <v>30</v>
      </c>
      <c r="C14" s="4" t="s">
        <v>40</v>
      </c>
      <c r="D14" s="2">
        <v>22</v>
      </c>
      <c r="E14" s="6">
        <f>D14*Hourly_Pay_Rate</f>
        <v>192.5</v>
      </c>
      <c r="F14" s="6">
        <f>E14*Nat_Ins_Rate</f>
        <v>18.865000000000002</v>
      </c>
      <c r="G14" s="7">
        <f>E14*Tax_Rate</f>
        <v>38.5</v>
      </c>
      <c r="H14" s="6">
        <f t="shared" si="0"/>
        <v>135.13499999999999</v>
      </c>
    </row>
    <row r="15" spans="1:8" x14ac:dyDescent="0.25">
      <c r="A15" s="2" t="s">
        <v>20</v>
      </c>
      <c r="B15" s="2" t="s">
        <v>31</v>
      </c>
      <c r="C15" s="4" t="s">
        <v>41</v>
      </c>
      <c r="D15" s="2">
        <v>12</v>
      </c>
      <c r="E15" s="6">
        <f>D15*Hourly_Pay_Rate</f>
        <v>105</v>
      </c>
      <c r="F15" s="6">
        <f>E15*Nat_Ins_Rate</f>
        <v>10.290000000000001</v>
      </c>
      <c r="G15" s="7">
        <f>E15*Tax_Rate</f>
        <v>21</v>
      </c>
      <c r="H15" s="6">
        <f t="shared" si="0"/>
        <v>73.710000000000008</v>
      </c>
    </row>
    <row r="16" spans="1:8" x14ac:dyDescent="0.25">
      <c r="A16" s="5" t="s">
        <v>45</v>
      </c>
      <c r="B16" s="8"/>
      <c r="C16" s="9"/>
      <c r="D16" s="5">
        <f t="shared" ref="D16:H16" si="1">SUM(D4:D15)</f>
        <v>207</v>
      </c>
      <c r="E16" s="5">
        <f t="shared" si="1"/>
        <v>1811.25</v>
      </c>
      <c r="F16" s="5">
        <f t="shared" si="1"/>
        <v>177.50250000000003</v>
      </c>
      <c r="G16" s="5">
        <f t="shared" si="1"/>
        <v>362.25</v>
      </c>
      <c r="H16" s="5">
        <f t="shared" si="1"/>
        <v>1271.4975000000002</v>
      </c>
    </row>
    <row r="19" spans="1:3" x14ac:dyDescent="0.25">
      <c r="A19" t="s">
        <v>8</v>
      </c>
      <c r="B19" s="14">
        <v>8.75</v>
      </c>
    </row>
    <row r="20" spans="1:3" x14ac:dyDescent="0.25">
      <c r="A20" t="s">
        <v>7</v>
      </c>
      <c r="B20" s="15">
        <v>9.8000000000000004E-2</v>
      </c>
      <c r="C20" s="10"/>
    </row>
    <row r="21" spans="1:3" x14ac:dyDescent="0.25">
      <c r="A21" t="s">
        <v>6</v>
      </c>
      <c r="B21" s="15">
        <v>0.2</v>
      </c>
    </row>
    <row r="24" spans="1:3" x14ac:dyDescent="0.25">
      <c r="C24"/>
    </row>
    <row r="25" spans="1:3" x14ac:dyDescent="0.25">
      <c r="C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3" zoomScaleNormal="100" workbookViewId="0">
      <selection activeCell="G16" sqref="G16"/>
    </sheetView>
  </sheetViews>
  <sheetFormatPr defaultRowHeight="15" x14ac:dyDescent="0.25"/>
  <cols>
    <col min="1" max="1" width="14" customWidth="1"/>
    <col min="2" max="2" width="10.28515625" customWidth="1"/>
    <col min="3" max="3" width="8.85546875" style="3" customWidth="1"/>
    <col min="4" max="4" width="7" customWidth="1"/>
    <col min="5" max="5" width="7.5703125" bestFit="1" customWidth="1"/>
    <col min="6" max="6" width="8.5703125" customWidth="1"/>
    <col min="7" max="7" width="8.140625" bestFit="1" customWidth="1"/>
    <col min="8" max="8" width="8.42578125" customWidth="1"/>
    <col min="9" max="12" width="8.5703125" customWidth="1"/>
  </cols>
  <sheetData>
    <row r="1" spans="1:8" ht="21" x14ac:dyDescent="0.35">
      <c r="A1" s="1" t="s">
        <v>0</v>
      </c>
    </row>
    <row r="3" spans="1:8" s="10" customFormat="1" ht="27.95" customHeight="1" x14ac:dyDescent="0.25">
      <c r="A3" s="11" t="s">
        <v>1</v>
      </c>
      <c r="B3" s="11" t="s">
        <v>2</v>
      </c>
      <c r="C3" s="12" t="s">
        <v>3</v>
      </c>
      <c r="D3" s="13" t="s">
        <v>4</v>
      </c>
      <c r="E3" s="13" t="s">
        <v>42</v>
      </c>
      <c r="F3" s="13" t="s">
        <v>5</v>
      </c>
      <c r="G3" s="13" t="s">
        <v>43</v>
      </c>
      <c r="H3" s="13" t="s">
        <v>44</v>
      </c>
    </row>
    <row r="4" spans="1:8" x14ac:dyDescent="0.25">
      <c r="A4" s="2" t="s">
        <v>9</v>
      </c>
      <c r="B4" s="2" t="s">
        <v>21</v>
      </c>
      <c r="C4" s="4" t="s">
        <v>32</v>
      </c>
      <c r="D4" s="2">
        <v>16</v>
      </c>
      <c r="E4" s="6">
        <f>D4*Hourly_Pay_Rate</f>
        <v>159.84</v>
      </c>
      <c r="F4" s="6">
        <f>E4*Nat_Ins_Rate</f>
        <v>11.188800000000001</v>
      </c>
      <c r="G4" s="7">
        <f>E4*Tax_Rate</f>
        <v>30.369600000000002</v>
      </c>
      <c r="H4" s="6">
        <f t="shared" ref="H4:H15" si="0">E4-SUM(F4:G4)</f>
        <v>118.2816</v>
      </c>
    </row>
    <row r="5" spans="1:8" x14ac:dyDescent="0.25">
      <c r="A5" s="2" t="s">
        <v>10</v>
      </c>
      <c r="B5" s="2" t="s">
        <v>22</v>
      </c>
      <c r="C5" s="4" t="s">
        <v>33</v>
      </c>
      <c r="D5" s="2">
        <v>18</v>
      </c>
      <c r="E5" s="6">
        <f>D5*Hourly_Pay_Rate</f>
        <v>179.82</v>
      </c>
      <c r="F5" s="6">
        <f>E5*Nat_Ins_Rate</f>
        <v>12.587400000000001</v>
      </c>
      <c r="G5" s="7">
        <f>E5*Tax_Rate</f>
        <v>34.165799999999997</v>
      </c>
      <c r="H5" s="6">
        <f t="shared" si="0"/>
        <v>133.0668</v>
      </c>
    </row>
    <row r="6" spans="1:8" x14ac:dyDescent="0.25">
      <c r="A6" s="2" t="s">
        <v>11</v>
      </c>
      <c r="B6" s="2" t="s">
        <v>23</v>
      </c>
      <c r="C6" s="4" t="s">
        <v>33</v>
      </c>
      <c r="D6" s="2">
        <v>22</v>
      </c>
      <c r="E6" s="6">
        <f>D6*Hourly_Pay_Rate</f>
        <v>219.78</v>
      </c>
      <c r="F6" s="6">
        <f>E6*Nat_Ins_Rate</f>
        <v>15.384600000000001</v>
      </c>
      <c r="G6" s="7">
        <f>E6*Tax_Rate</f>
        <v>41.758200000000002</v>
      </c>
      <c r="H6" s="6">
        <f t="shared" si="0"/>
        <v>162.63720000000001</v>
      </c>
    </row>
    <row r="7" spans="1:8" x14ac:dyDescent="0.25">
      <c r="A7" s="2" t="s">
        <v>12</v>
      </c>
      <c r="B7" s="2" t="s">
        <v>25</v>
      </c>
      <c r="C7" s="4" t="s">
        <v>34</v>
      </c>
      <c r="D7" s="2">
        <v>19</v>
      </c>
      <c r="E7" s="6">
        <f>D7*Hourly_Pay_Rate</f>
        <v>189.81</v>
      </c>
      <c r="F7" s="6">
        <f>E7*Nat_Ins_Rate</f>
        <v>13.286700000000002</v>
      </c>
      <c r="G7" s="7">
        <f>E7*Tax_Rate</f>
        <v>36.063900000000004</v>
      </c>
      <c r="H7" s="6">
        <f t="shared" si="0"/>
        <v>140.45939999999999</v>
      </c>
    </row>
    <row r="8" spans="1:8" x14ac:dyDescent="0.25">
      <c r="A8" s="2" t="s">
        <v>13</v>
      </c>
      <c r="B8" s="2" t="s">
        <v>24</v>
      </c>
      <c r="C8" s="4" t="s">
        <v>35</v>
      </c>
      <c r="D8" s="2">
        <v>18</v>
      </c>
      <c r="E8" s="6">
        <f>D8*Hourly_Pay_Rate</f>
        <v>179.82</v>
      </c>
      <c r="F8" s="6">
        <f>E8*Nat_Ins_Rate</f>
        <v>12.587400000000001</v>
      </c>
      <c r="G8" s="7">
        <f>E8*Tax_Rate</f>
        <v>34.165799999999997</v>
      </c>
      <c r="H8" s="6">
        <f t="shared" si="0"/>
        <v>133.0668</v>
      </c>
    </row>
    <row r="9" spans="1:8" x14ac:dyDescent="0.25">
      <c r="A9" s="2" t="s">
        <v>14</v>
      </c>
      <c r="B9" s="2" t="s">
        <v>24</v>
      </c>
      <c r="C9" s="4" t="s">
        <v>36</v>
      </c>
      <c r="D9" s="2">
        <v>18</v>
      </c>
      <c r="E9" s="6">
        <f>D9*Hourly_Pay_Rate</f>
        <v>179.82</v>
      </c>
      <c r="F9" s="6">
        <f>E9*Nat_Ins_Rate</f>
        <v>12.587400000000001</v>
      </c>
      <c r="G9" s="7">
        <f>E9*Tax_Rate</f>
        <v>34.165799999999997</v>
      </c>
      <c r="H9" s="6">
        <f t="shared" si="0"/>
        <v>133.0668</v>
      </c>
    </row>
    <row r="10" spans="1:8" x14ac:dyDescent="0.25">
      <c r="A10" s="2" t="s">
        <v>15</v>
      </c>
      <c r="B10" s="2" t="s">
        <v>26</v>
      </c>
      <c r="C10" s="4" t="s">
        <v>37</v>
      </c>
      <c r="D10" s="2">
        <v>12</v>
      </c>
      <c r="E10" s="6">
        <f>D10*Hourly_Pay_Rate</f>
        <v>119.88</v>
      </c>
      <c r="F10" s="6">
        <f>E10*Nat_Ins_Rate</f>
        <v>8.3916000000000004</v>
      </c>
      <c r="G10" s="7">
        <f>E10*Tax_Rate</f>
        <v>22.777200000000001</v>
      </c>
      <c r="H10" s="6">
        <f t="shared" si="0"/>
        <v>88.711199999999991</v>
      </c>
    </row>
    <row r="11" spans="1:8" x14ac:dyDescent="0.25">
      <c r="A11" s="2" t="s">
        <v>16</v>
      </c>
      <c r="B11" s="2" t="s">
        <v>28</v>
      </c>
      <c r="C11" s="4" t="s">
        <v>38</v>
      </c>
      <c r="D11" s="2">
        <v>16</v>
      </c>
      <c r="E11" s="6">
        <f>D11*Hourly_Pay_Rate</f>
        <v>159.84</v>
      </c>
      <c r="F11" s="6">
        <f>E11*Nat_Ins_Rate</f>
        <v>11.188800000000001</v>
      </c>
      <c r="G11" s="7">
        <f>E11*Tax_Rate</f>
        <v>30.369600000000002</v>
      </c>
      <c r="H11" s="6">
        <f t="shared" si="0"/>
        <v>118.2816</v>
      </c>
    </row>
    <row r="12" spans="1:8" x14ac:dyDescent="0.25">
      <c r="A12" s="2" t="s">
        <v>17</v>
      </c>
      <c r="B12" s="2" t="s">
        <v>27</v>
      </c>
      <c r="C12" s="4" t="s">
        <v>39</v>
      </c>
      <c r="D12" s="2">
        <v>16</v>
      </c>
      <c r="E12" s="6">
        <f>D12*Hourly_Pay_Rate</f>
        <v>159.84</v>
      </c>
      <c r="F12" s="6">
        <f>E12*Nat_Ins_Rate</f>
        <v>11.188800000000001</v>
      </c>
      <c r="G12" s="7">
        <f>E12*Tax_Rate</f>
        <v>30.369600000000002</v>
      </c>
      <c r="H12" s="6">
        <f t="shared" si="0"/>
        <v>118.2816</v>
      </c>
    </row>
    <row r="13" spans="1:8" x14ac:dyDescent="0.25">
      <c r="A13" s="2" t="s">
        <v>18</v>
      </c>
      <c r="B13" s="2" t="s">
        <v>29</v>
      </c>
      <c r="C13" s="4" t="s">
        <v>39</v>
      </c>
      <c r="D13" s="2">
        <v>18</v>
      </c>
      <c r="E13" s="6">
        <f>D13*Hourly_Pay_Rate</f>
        <v>179.82</v>
      </c>
      <c r="F13" s="6">
        <f>E13*Nat_Ins_Rate</f>
        <v>12.587400000000001</v>
      </c>
      <c r="G13" s="7">
        <f>E13*Tax_Rate</f>
        <v>34.165799999999997</v>
      </c>
      <c r="H13" s="6">
        <f t="shared" si="0"/>
        <v>133.0668</v>
      </c>
    </row>
    <row r="14" spans="1:8" x14ac:dyDescent="0.25">
      <c r="A14" s="2" t="s">
        <v>19</v>
      </c>
      <c r="B14" s="2" t="s">
        <v>30</v>
      </c>
      <c r="C14" s="4" t="s">
        <v>40</v>
      </c>
      <c r="D14" s="2">
        <v>22</v>
      </c>
      <c r="E14" s="6">
        <f>D14*Hourly_Pay_Rate</f>
        <v>219.78</v>
      </c>
      <c r="F14" s="6">
        <f>E14*Nat_Ins_Rate</f>
        <v>15.384600000000001</v>
      </c>
      <c r="G14" s="7">
        <f>E14*Tax_Rate</f>
        <v>41.758200000000002</v>
      </c>
      <c r="H14" s="6">
        <f t="shared" si="0"/>
        <v>162.63720000000001</v>
      </c>
    </row>
    <row r="15" spans="1:8" x14ac:dyDescent="0.25">
      <c r="A15" s="2" t="s">
        <v>20</v>
      </c>
      <c r="B15" s="2" t="s">
        <v>31</v>
      </c>
      <c r="C15" s="4" t="s">
        <v>41</v>
      </c>
      <c r="D15" s="2">
        <v>12</v>
      </c>
      <c r="E15" s="6">
        <f>D15*Hourly_Pay_Rate</f>
        <v>119.88</v>
      </c>
      <c r="F15" s="6">
        <f>E15*Nat_Ins_Rate</f>
        <v>8.3916000000000004</v>
      </c>
      <c r="G15" s="7">
        <f>E15*Tax_Rate</f>
        <v>22.777200000000001</v>
      </c>
      <c r="H15" s="6">
        <f t="shared" si="0"/>
        <v>88.711199999999991</v>
      </c>
    </row>
    <row r="16" spans="1:8" x14ac:dyDescent="0.25">
      <c r="A16" s="5" t="s">
        <v>45</v>
      </c>
      <c r="B16" s="8"/>
      <c r="C16" s="9"/>
      <c r="D16" s="5">
        <f t="shared" ref="D16:H16" si="1">SUM(D4:D15)</f>
        <v>207</v>
      </c>
      <c r="E16" s="16">
        <f t="shared" si="1"/>
        <v>2067.9299999999998</v>
      </c>
      <c r="F16" s="5">
        <f t="shared" si="1"/>
        <v>144.75510000000003</v>
      </c>
      <c r="G16" s="16">
        <f t="shared" si="1"/>
        <v>392.90669999999994</v>
      </c>
      <c r="H16" s="5">
        <f t="shared" si="1"/>
        <v>1530.2682000000002</v>
      </c>
    </row>
    <row r="19" spans="1:3" x14ac:dyDescent="0.25">
      <c r="A19" t="s">
        <v>8</v>
      </c>
      <c r="B19" s="14">
        <v>9.99</v>
      </c>
    </row>
    <row r="20" spans="1:3" x14ac:dyDescent="0.25">
      <c r="A20" t="s">
        <v>7</v>
      </c>
      <c r="B20" s="15">
        <v>7.0000000000000007E-2</v>
      </c>
      <c r="C20" s="10"/>
    </row>
    <row r="21" spans="1:3" x14ac:dyDescent="0.25">
      <c r="A21" t="s">
        <v>6</v>
      </c>
      <c r="B21" s="15">
        <v>0.19</v>
      </c>
    </row>
    <row r="24" spans="1:3" x14ac:dyDescent="0.25">
      <c r="C24"/>
    </row>
    <row r="25" spans="1:3" x14ac:dyDescent="0.25">
      <c r="C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1'!Hourly_Pay_Rate</vt:lpstr>
      <vt:lpstr>Hourly_Pay_Rate</vt:lpstr>
      <vt:lpstr>'Task 1'!Nat_Ins_Rate</vt:lpstr>
      <vt:lpstr>Nat_Ins_Rate</vt:lpstr>
      <vt:lpstr>'Task 1'!Tax_Rate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2018-02-08T15:55:15Z</dcterms:created>
  <dcterms:modified xsi:type="dcterms:W3CDTF">2026-09-27T01:32:26Z</dcterms:modified>
</cp:coreProperties>
</file>