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07\"/>
    </mc:Choice>
  </mc:AlternateContent>
  <xr:revisionPtr revIDLastSave="0" documentId="8_{7C7A320B-B9A6-4719-AB67-36E4DFDEE7FE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site_code" localSheetId="0">'Task 1'!$B$18</definedName>
    <definedName name="site_code">'Task 2'!$B$18</definedName>
    <definedName name="site_table" localSheetId="0">'Task 1'!$A$4:$G$16</definedName>
    <definedName name="site_table">'Task 2'!$A$4:$G$16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" l="1"/>
  <c r="B22" i="2"/>
  <c r="B21" i="2"/>
  <c r="B20" i="2"/>
  <c r="B19" i="2"/>
  <c r="G16" i="2"/>
  <c r="G15" i="2"/>
  <c r="G14" i="2"/>
  <c r="G13" i="2"/>
  <c r="G12" i="2"/>
  <c r="G11" i="2"/>
  <c r="G10" i="2"/>
  <c r="G9" i="2"/>
  <c r="G8" i="2"/>
  <c r="B24" i="2" s="1"/>
  <c r="G7" i="2"/>
  <c r="G6" i="2"/>
  <c r="G5" i="2"/>
  <c r="G4" i="2"/>
  <c r="B24" i="1"/>
  <c r="B23" i="1"/>
  <c r="B22" i="1"/>
  <c r="B21" i="1"/>
  <c r="B20" i="1"/>
  <c r="B19" i="1"/>
  <c r="G16" i="1"/>
  <c r="G15" i="1"/>
  <c r="G14" i="1"/>
  <c r="G13" i="1"/>
  <c r="G12" i="1"/>
  <c r="G4" i="1" l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<sst xmlns="http://schemas.openxmlformats.org/spreadsheetml/2006/main" count="86" uniqueCount="42">
  <si>
    <t>Playground Safety Checks</t>
  </si>
  <si>
    <t>Grange Avenue</t>
  </si>
  <si>
    <t>Poppy Close</t>
  </si>
  <si>
    <t>Church Fold</t>
  </si>
  <si>
    <t>Rivington Drive</t>
  </si>
  <si>
    <t>Howards Park</t>
  </si>
  <si>
    <t>Beaufort Gardens</t>
  </si>
  <si>
    <t>Emily Lane</t>
  </si>
  <si>
    <t>Swings</t>
  </si>
  <si>
    <t>Slides</t>
  </si>
  <si>
    <t>Climbing Frame</t>
  </si>
  <si>
    <t>Ribble Gardens</t>
  </si>
  <si>
    <t>Overall Result</t>
  </si>
  <si>
    <t>Rocker</t>
  </si>
  <si>
    <t>Site Location</t>
  </si>
  <si>
    <t>Site Code</t>
  </si>
  <si>
    <t>B55/871</t>
  </si>
  <si>
    <t>B92/756</t>
  </si>
  <si>
    <t>B66/997</t>
  </si>
  <si>
    <t>B81/222</t>
  </si>
  <si>
    <t>B54/871</t>
  </si>
  <si>
    <t>B55/993</t>
  </si>
  <si>
    <t>B92/771</t>
  </si>
  <si>
    <t>B11/134</t>
  </si>
  <si>
    <t>B54/889</t>
  </si>
  <si>
    <t>B81/156</t>
  </si>
  <si>
    <t>B81/157</t>
  </si>
  <si>
    <t>B92/755</t>
  </si>
  <si>
    <t>B11/234</t>
  </si>
  <si>
    <t>Leyton Drive</t>
  </si>
  <si>
    <t>Gibble Gabble</t>
  </si>
  <si>
    <t>Langley Road</t>
  </si>
  <si>
    <t>Arlington Close</t>
  </si>
  <si>
    <t>Flowery Fields</t>
  </si>
  <si>
    <t>Site Code:</t>
  </si>
  <si>
    <t>Location:</t>
  </si>
  <si>
    <t>Swings:</t>
  </si>
  <si>
    <t>Slides:</t>
  </si>
  <si>
    <t>Rocker:</t>
  </si>
  <si>
    <t>C/Frame:</t>
  </si>
  <si>
    <t>Overall:</t>
  </si>
  <si>
    <t>&lt;--- Change Code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</si>
</sst>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2F9B-7E34-4220-A5BF-7020D7A4B1F3}">
  <dimension ref="A1:G24"/>
  <sheetViews>
    <sheetView topLeftCell="A3" zoomScale="90" zoomScaleNormal="90" workbookViewId="0">
      <selection activeCell="F21" sqref="F21"/>
    </sheetView>
  </sheetViews>
  <sheetFormatPr defaultRowHeight="15" x14ac:dyDescent="0.25"/>
  <cols>
    <col min="1" max="1" width="10.42578125" customWidth="1"/>
    <col min="2" max="2" width="15.28515625" bestFit="1" customWidth="1"/>
    <col min="3" max="3" width="6.42578125" style="2" bestFit="1" customWidth="1"/>
    <col min="4" max="4" width="5.5703125" style="2" bestFit="1" customWidth="1"/>
    <col min="5" max="5" width="6.85546875" style="2" customWidth="1"/>
    <col min="6" max="6" width="8.5703125" style="2" customWidth="1"/>
    <col min="8" max="8" width="3.140625" customWidth="1"/>
    <col min="10" max="10" width="17.42578125" customWidth="1"/>
    <col min="11" max="11" width="15.42578125" customWidth="1"/>
  </cols>
  <sheetData>
    <row r="1" spans="1:7" ht="18.75" x14ac:dyDescent="0.3">
      <c r="A1" s="7" t="s">
        <v>0</v>
      </c>
      <c r="B1" s="7"/>
    </row>
    <row r="3" spans="1:7" s="1" customFormat="1" ht="30" x14ac:dyDescent="0.25">
      <c r="A3" s="5" t="s">
        <v>15</v>
      </c>
      <c r="B3" s="5" t="s">
        <v>14</v>
      </c>
      <c r="C3" s="6" t="s">
        <v>8</v>
      </c>
      <c r="D3" s="6" t="s">
        <v>9</v>
      </c>
      <c r="E3" s="6" t="s">
        <v>13</v>
      </c>
      <c r="F3" s="6" t="s">
        <v>10</v>
      </c>
      <c r="G3" s="6" t="s">
        <v>12</v>
      </c>
    </row>
    <row r="4" spans="1:7" x14ac:dyDescent="0.25">
      <c r="A4" s="3" t="s">
        <v>16</v>
      </c>
      <c r="B4" s="3" t="s">
        <v>6</v>
      </c>
      <c r="C4" s="4">
        <v>6</v>
      </c>
      <c r="D4" s="4">
        <v>8</v>
      </c>
      <c r="E4" s="4">
        <v>7</v>
      </c>
      <c r="F4" s="4">
        <v>9</v>
      </c>
      <c r="G4" s="4" t="str">
        <f t="shared" ref="G4:G16" si="0">IF(AND(C4&gt;=7,D4&gt;=7,E4&gt;=8,F4&gt;=8),"Pass","Fail")</f>
        <v>Fail</v>
      </c>
    </row>
    <row r="5" spans="1:7" x14ac:dyDescent="0.25">
      <c r="A5" s="3" t="s">
        <v>17</v>
      </c>
      <c r="B5" s="3" t="s">
        <v>3</v>
      </c>
      <c r="C5" s="4">
        <v>8</v>
      </c>
      <c r="D5" s="4">
        <v>9</v>
      </c>
      <c r="E5" s="4">
        <v>8</v>
      </c>
      <c r="F5" s="4">
        <v>9</v>
      </c>
      <c r="G5" s="4" t="str">
        <f t="shared" si="0"/>
        <v>Pass</v>
      </c>
    </row>
    <row r="6" spans="1:7" x14ac:dyDescent="0.25">
      <c r="A6" s="3" t="s">
        <v>18</v>
      </c>
      <c r="B6" s="3" t="s">
        <v>7</v>
      </c>
      <c r="C6" s="4">
        <v>5</v>
      </c>
      <c r="D6" s="4">
        <v>7</v>
      </c>
      <c r="E6" s="4">
        <v>7</v>
      </c>
      <c r="F6" s="4">
        <v>8</v>
      </c>
      <c r="G6" s="4" t="str">
        <f t="shared" si="0"/>
        <v>Fail</v>
      </c>
    </row>
    <row r="7" spans="1:7" x14ac:dyDescent="0.25">
      <c r="A7" s="3" t="s">
        <v>19</v>
      </c>
      <c r="B7" s="3" t="s">
        <v>1</v>
      </c>
      <c r="C7" s="4">
        <v>9</v>
      </c>
      <c r="D7" s="4">
        <v>8</v>
      </c>
      <c r="E7" s="4">
        <v>8</v>
      </c>
      <c r="F7" s="4">
        <v>9</v>
      </c>
      <c r="G7" s="4" t="str">
        <f t="shared" si="0"/>
        <v>Pass</v>
      </c>
    </row>
    <row r="8" spans="1:7" x14ac:dyDescent="0.25">
      <c r="A8" s="3" t="s">
        <v>20</v>
      </c>
      <c r="B8" s="3" t="s">
        <v>5</v>
      </c>
      <c r="C8" s="4">
        <v>7</v>
      </c>
      <c r="D8" s="4">
        <v>8</v>
      </c>
      <c r="E8" s="4">
        <v>7</v>
      </c>
      <c r="F8" s="4">
        <v>8</v>
      </c>
      <c r="G8" s="4" t="str">
        <f t="shared" si="0"/>
        <v>Fail</v>
      </c>
    </row>
    <row r="9" spans="1:7" x14ac:dyDescent="0.25">
      <c r="A9" s="3" t="s">
        <v>21</v>
      </c>
      <c r="B9" s="3" t="s">
        <v>2</v>
      </c>
      <c r="C9" s="4">
        <v>8</v>
      </c>
      <c r="D9" s="4">
        <v>6</v>
      </c>
      <c r="E9" s="4">
        <v>8</v>
      </c>
      <c r="F9" s="4">
        <v>8</v>
      </c>
      <c r="G9" s="4" t="str">
        <f t="shared" si="0"/>
        <v>Fail</v>
      </c>
    </row>
    <row r="10" spans="1:7" x14ac:dyDescent="0.25">
      <c r="A10" s="3" t="s">
        <v>22</v>
      </c>
      <c r="B10" s="3" t="s">
        <v>11</v>
      </c>
      <c r="C10" s="4">
        <v>7</v>
      </c>
      <c r="D10" s="4">
        <v>8</v>
      </c>
      <c r="E10" s="4">
        <v>9</v>
      </c>
      <c r="F10" s="4">
        <v>8</v>
      </c>
      <c r="G10" s="4" t="str">
        <f t="shared" si="0"/>
        <v>Pass</v>
      </c>
    </row>
    <row r="11" spans="1:7" x14ac:dyDescent="0.25">
      <c r="A11" s="3" t="s">
        <v>23</v>
      </c>
      <c r="B11" s="3" t="s">
        <v>4</v>
      </c>
      <c r="C11" s="4">
        <v>7</v>
      </c>
      <c r="D11" s="4">
        <v>6</v>
      </c>
      <c r="E11" s="4">
        <v>7</v>
      </c>
      <c r="F11" s="4">
        <v>2</v>
      </c>
      <c r="G11" s="4" t="str">
        <f t="shared" si="0"/>
        <v>Fail</v>
      </c>
    </row>
    <row r="12" spans="1:7" x14ac:dyDescent="0.25">
      <c r="A12" s="3" t="s">
        <v>24</v>
      </c>
      <c r="B12" s="3" t="s">
        <v>29</v>
      </c>
      <c r="C12" s="4">
        <v>7</v>
      </c>
      <c r="D12" s="4">
        <v>4</v>
      </c>
      <c r="E12" s="4">
        <v>8</v>
      </c>
      <c r="F12" s="4">
        <v>9</v>
      </c>
      <c r="G12" s="4" t="str">
        <f t="shared" si="0"/>
        <v>Fail</v>
      </c>
    </row>
    <row r="13" spans="1:7" x14ac:dyDescent="0.25">
      <c r="A13" s="3" t="s">
        <v>25</v>
      </c>
      <c r="B13" s="3" t="s">
        <v>30</v>
      </c>
      <c r="C13" s="4">
        <v>8</v>
      </c>
      <c r="D13" s="4">
        <v>8</v>
      </c>
      <c r="E13" s="4">
        <v>8</v>
      </c>
      <c r="F13" s="4">
        <v>9</v>
      </c>
      <c r="G13" s="4" t="str">
        <f t="shared" si="0"/>
        <v>Pass</v>
      </c>
    </row>
    <row r="14" spans="1:7" x14ac:dyDescent="0.25">
      <c r="A14" s="3" t="s">
        <v>26</v>
      </c>
      <c r="B14" s="3" t="s">
        <v>31</v>
      </c>
      <c r="C14" s="4">
        <v>8</v>
      </c>
      <c r="D14" s="4">
        <v>8</v>
      </c>
      <c r="E14" s="4">
        <v>6</v>
      </c>
      <c r="F14" s="4">
        <v>8</v>
      </c>
      <c r="G14" s="4" t="str">
        <f t="shared" si="0"/>
        <v>Fail</v>
      </c>
    </row>
    <row r="15" spans="1:7" x14ac:dyDescent="0.25">
      <c r="A15" s="3" t="s">
        <v>27</v>
      </c>
      <c r="B15" s="3" t="s">
        <v>32</v>
      </c>
      <c r="C15" s="4">
        <v>8</v>
      </c>
      <c r="D15" s="4">
        <v>9</v>
      </c>
      <c r="E15" s="4">
        <v>7</v>
      </c>
      <c r="F15" s="4">
        <v>8</v>
      </c>
      <c r="G15" s="4" t="str">
        <f t="shared" si="0"/>
        <v>Fail</v>
      </c>
    </row>
    <row r="16" spans="1:7" x14ac:dyDescent="0.25">
      <c r="A16" s="3" t="s">
        <v>28</v>
      </c>
      <c r="B16" s="3" t="s">
        <v>33</v>
      </c>
      <c r="C16" s="4">
        <v>9</v>
      </c>
      <c r="D16" s="4">
        <v>7</v>
      </c>
      <c r="E16" s="4">
        <v>9</v>
      </c>
      <c r="F16" s="4">
        <v>8</v>
      </c>
      <c r="G16" s="4" t="str">
        <f t="shared" si="0"/>
        <v>Pass</v>
      </c>
    </row>
    <row r="18" spans="1:3" x14ac:dyDescent="0.25">
      <c r="A18" s="8" t="s">
        <v>34</v>
      </c>
      <c r="B18" s="10" t="s">
        <v>20</v>
      </c>
      <c r="C18" s="9" t="s">
        <v>41</v>
      </c>
    </row>
    <row r="19" spans="1:3" x14ac:dyDescent="0.25">
      <c r="A19" s="8" t="s">
        <v>35</v>
      </c>
      <c r="B19" s="3" t="str">
        <f>VLOOKUP(site_code,site_table,2,0)</f>
        <v>Howards Park</v>
      </c>
    </row>
    <row r="20" spans="1:3" x14ac:dyDescent="0.25">
      <c r="A20" s="8" t="s">
        <v>36</v>
      </c>
      <c r="B20" s="3">
        <f>VLOOKUP(site_code,site_table,3,0)</f>
        <v>7</v>
      </c>
    </row>
    <row r="21" spans="1:3" x14ac:dyDescent="0.25">
      <c r="A21" s="8" t="s">
        <v>37</v>
      </c>
      <c r="B21" s="3">
        <f>VLOOKUP(site_code,site_table,4,0)</f>
        <v>8</v>
      </c>
    </row>
    <row r="22" spans="1:3" x14ac:dyDescent="0.25">
      <c r="A22" s="8" t="s">
        <v>38</v>
      </c>
      <c r="B22" s="3">
        <f>VLOOKUP(site_code,site_table,5,0)</f>
        <v>7</v>
      </c>
    </row>
    <row r="23" spans="1:3" x14ac:dyDescent="0.25">
      <c r="A23" s="8" t="s">
        <v>39</v>
      </c>
      <c r="B23" s="3">
        <f>VLOOKUP(site_code,site_table,6,0)</f>
        <v>8</v>
      </c>
    </row>
    <row r="24" spans="1:3" x14ac:dyDescent="0.25">
      <c r="A24" s="8" t="s">
        <v>40</v>
      </c>
      <c r="B24" s="3" t="str">
        <f>VLOOKUP(site_code,site_table,7,0)</f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3" zoomScale="90" zoomScaleNormal="90" workbookViewId="0">
      <selection activeCell="G21" sqref="G21"/>
    </sheetView>
  </sheetViews>
  <sheetFormatPr defaultRowHeight="15" x14ac:dyDescent="0.25"/>
  <cols>
    <col min="1" max="1" width="10.42578125" customWidth="1"/>
    <col min="2" max="2" width="15.28515625" bestFit="1" customWidth="1"/>
    <col min="3" max="3" width="6.42578125" style="2" bestFit="1" customWidth="1"/>
    <col min="4" max="4" width="5.5703125" style="2" bestFit="1" customWidth="1"/>
    <col min="5" max="5" width="6.85546875" style="2" customWidth="1"/>
    <col min="6" max="6" width="8.5703125" style="2" customWidth="1"/>
    <col min="8" max="8" width="3.140625" customWidth="1"/>
    <col min="10" max="10" width="17.42578125" customWidth="1"/>
    <col min="11" max="11" width="15.42578125" customWidth="1"/>
  </cols>
  <sheetData>
    <row r="1" spans="1:7" ht="18.75" x14ac:dyDescent="0.3">
      <c r="A1" s="7" t="s">
        <v>0</v>
      </c>
      <c r="B1" s="7"/>
    </row>
    <row r="3" spans="1:7" s="1" customFormat="1" ht="30" x14ac:dyDescent="0.25">
      <c r="A3" s="5" t="s">
        <v>15</v>
      </c>
      <c r="B3" s="5" t="s">
        <v>14</v>
      </c>
      <c r="C3" s="6" t="s">
        <v>8</v>
      </c>
      <c r="D3" s="6" t="s">
        <v>9</v>
      </c>
      <c r="E3" s="6" t="s">
        <v>13</v>
      </c>
      <c r="F3" s="6" t="s">
        <v>10</v>
      </c>
      <c r="G3" s="6" t="s">
        <v>12</v>
      </c>
    </row>
    <row r="4" spans="1:7" x14ac:dyDescent="0.25">
      <c r="A4" s="3" t="s">
        <v>16</v>
      </c>
      <c r="B4" s="3" t="s">
        <v>6</v>
      </c>
      <c r="C4" s="4">
        <v>6</v>
      </c>
      <c r="D4" s="4">
        <v>8</v>
      </c>
      <c r="E4" s="4">
        <v>7</v>
      </c>
      <c r="F4" s="4">
        <v>9</v>
      </c>
      <c r="G4" s="4" t="str">
        <f t="shared" ref="G4:G16" si="0">IF(AND(C4&gt;=7,D4&gt;=7,E4&gt;=8,F4&gt;=8),"Pass","Fail")</f>
        <v>Fail</v>
      </c>
    </row>
    <row r="5" spans="1:7" x14ac:dyDescent="0.25">
      <c r="A5" s="3" t="s">
        <v>17</v>
      </c>
      <c r="B5" s="3" t="s">
        <v>3</v>
      </c>
      <c r="C5" s="4">
        <v>8</v>
      </c>
      <c r="D5" s="4">
        <v>9</v>
      </c>
      <c r="E5" s="4">
        <v>8</v>
      </c>
      <c r="F5" s="4">
        <v>9</v>
      </c>
      <c r="G5" s="4" t="str">
        <f t="shared" si="0"/>
        <v>Pass</v>
      </c>
    </row>
    <row r="6" spans="1:7" x14ac:dyDescent="0.25">
      <c r="A6" s="3" t="s">
        <v>18</v>
      </c>
      <c r="B6" s="3" t="s">
        <v>7</v>
      </c>
      <c r="C6" s="4">
        <v>5</v>
      </c>
      <c r="D6" s="4">
        <v>7</v>
      </c>
      <c r="E6" s="4">
        <v>7</v>
      </c>
      <c r="F6" s="4">
        <v>8</v>
      </c>
      <c r="G6" s="4" t="str">
        <f t="shared" si="0"/>
        <v>Fail</v>
      </c>
    </row>
    <row r="7" spans="1:7" x14ac:dyDescent="0.25">
      <c r="A7" s="3" t="s">
        <v>19</v>
      </c>
      <c r="B7" s="3" t="s">
        <v>1</v>
      </c>
      <c r="C7" s="4">
        <v>9</v>
      </c>
      <c r="D7" s="4">
        <v>8</v>
      </c>
      <c r="E7" s="4">
        <v>8</v>
      </c>
      <c r="F7" s="4">
        <v>9</v>
      </c>
      <c r="G7" s="4" t="str">
        <f t="shared" si="0"/>
        <v>Pass</v>
      </c>
    </row>
    <row r="8" spans="1:7" x14ac:dyDescent="0.25">
      <c r="A8" s="3" t="s">
        <v>20</v>
      </c>
      <c r="B8" s="3" t="s">
        <v>5</v>
      </c>
      <c r="C8" s="4">
        <v>7</v>
      </c>
      <c r="D8" s="4">
        <v>8</v>
      </c>
      <c r="E8" s="4">
        <v>7</v>
      </c>
      <c r="F8" s="4">
        <v>8</v>
      </c>
      <c r="G8" s="4" t="str">
        <f t="shared" si="0"/>
        <v>Fail</v>
      </c>
    </row>
    <row r="9" spans="1:7" x14ac:dyDescent="0.25">
      <c r="A9" s="3" t="s">
        <v>21</v>
      </c>
      <c r="B9" s="3" t="s">
        <v>2</v>
      </c>
      <c r="C9" s="4">
        <v>8</v>
      </c>
      <c r="D9" s="4">
        <v>6</v>
      </c>
      <c r="E9" s="4">
        <v>8</v>
      </c>
      <c r="F9" s="4">
        <v>8</v>
      </c>
      <c r="G9" s="4" t="str">
        <f t="shared" si="0"/>
        <v>Fail</v>
      </c>
    </row>
    <row r="10" spans="1:7" x14ac:dyDescent="0.25">
      <c r="A10" s="3" t="s">
        <v>22</v>
      </c>
      <c r="B10" s="3" t="s">
        <v>11</v>
      </c>
      <c r="C10" s="4">
        <v>7</v>
      </c>
      <c r="D10" s="4">
        <v>8</v>
      </c>
      <c r="E10" s="4">
        <v>9</v>
      </c>
      <c r="F10" s="4">
        <v>8</v>
      </c>
      <c r="G10" s="4" t="str">
        <f t="shared" si="0"/>
        <v>Pass</v>
      </c>
    </row>
    <row r="11" spans="1:7" x14ac:dyDescent="0.25">
      <c r="A11" s="3" t="s">
        <v>23</v>
      </c>
      <c r="B11" s="3" t="s">
        <v>4</v>
      </c>
      <c r="C11" s="4">
        <v>7</v>
      </c>
      <c r="D11" s="4">
        <v>6</v>
      </c>
      <c r="E11" s="4">
        <v>7</v>
      </c>
      <c r="F11" s="4">
        <v>2</v>
      </c>
      <c r="G11" s="4" t="str">
        <f t="shared" si="0"/>
        <v>Fail</v>
      </c>
    </row>
    <row r="12" spans="1:7" x14ac:dyDescent="0.25">
      <c r="A12" s="3" t="s">
        <v>24</v>
      </c>
      <c r="B12" s="3" t="s">
        <v>29</v>
      </c>
      <c r="C12" s="4">
        <v>7</v>
      </c>
      <c r="D12" s="4">
        <v>4</v>
      </c>
      <c r="E12" s="4">
        <v>8</v>
      </c>
      <c r="F12" s="4">
        <v>9</v>
      </c>
      <c r="G12" s="4" t="str">
        <f t="shared" si="0"/>
        <v>Fail</v>
      </c>
    </row>
    <row r="13" spans="1:7" x14ac:dyDescent="0.25">
      <c r="A13" s="3" t="s">
        <v>25</v>
      </c>
      <c r="B13" s="3" t="s">
        <v>30</v>
      </c>
      <c r="C13" s="4">
        <v>8</v>
      </c>
      <c r="D13" s="4">
        <v>8</v>
      </c>
      <c r="E13" s="4">
        <v>8</v>
      </c>
      <c r="F13" s="4">
        <v>9</v>
      </c>
      <c r="G13" s="4" t="str">
        <f t="shared" si="0"/>
        <v>Pass</v>
      </c>
    </row>
    <row r="14" spans="1:7" x14ac:dyDescent="0.25">
      <c r="A14" s="3" t="s">
        <v>26</v>
      </c>
      <c r="B14" s="3" t="s">
        <v>31</v>
      </c>
      <c r="C14" s="4">
        <v>8</v>
      </c>
      <c r="D14" s="4">
        <v>8</v>
      </c>
      <c r="E14" s="4">
        <v>6</v>
      </c>
      <c r="F14" s="4">
        <v>8</v>
      </c>
      <c r="G14" s="4" t="str">
        <f t="shared" si="0"/>
        <v>Fail</v>
      </c>
    </row>
    <row r="15" spans="1:7" x14ac:dyDescent="0.25">
      <c r="A15" s="3" t="s">
        <v>27</v>
      </c>
      <c r="B15" s="3" t="s">
        <v>32</v>
      </c>
      <c r="C15" s="4">
        <v>8</v>
      </c>
      <c r="D15" s="4">
        <v>9</v>
      </c>
      <c r="E15" s="4">
        <v>7</v>
      </c>
      <c r="F15" s="4">
        <v>8</v>
      </c>
      <c r="G15" s="4" t="str">
        <f t="shared" si="0"/>
        <v>Fail</v>
      </c>
    </row>
    <row r="16" spans="1:7" x14ac:dyDescent="0.25">
      <c r="A16" s="3" t="s">
        <v>28</v>
      </c>
      <c r="B16" s="3" t="s">
        <v>33</v>
      </c>
      <c r="C16" s="4">
        <v>9</v>
      </c>
      <c r="D16" s="4">
        <v>7</v>
      </c>
      <c r="E16" s="4">
        <v>9</v>
      </c>
      <c r="F16" s="4">
        <v>8</v>
      </c>
      <c r="G16" s="4" t="str">
        <f t="shared" si="0"/>
        <v>Pass</v>
      </c>
    </row>
    <row r="18" spans="1:3" x14ac:dyDescent="0.25">
      <c r="A18" s="8" t="s">
        <v>34</v>
      </c>
      <c r="B18" s="10" t="s">
        <v>22</v>
      </c>
      <c r="C18" s="9" t="s">
        <v>41</v>
      </c>
    </row>
    <row r="19" spans="1:3" x14ac:dyDescent="0.25">
      <c r="A19" s="8" t="s">
        <v>35</v>
      </c>
      <c r="B19" s="3" t="str">
        <f>VLOOKUP(site_code,site_table,2,0)</f>
        <v>Ribble Gardens</v>
      </c>
    </row>
    <row r="20" spans="1:3" x14ac:dyDescent="0.25">
      <c r="A20" s="8" t="s">
        <v>36</v>
      </c>
      <c r="B20" s="3">
        <f>VLOOKUP(site_code,site_table,3,0)</f>
        <v>7</v>
      </c>
    </row>
    <row r="21" spans="1:3" x14ac:dyDescent="0.25">
      <c r="A21" s="8" t="s">
        <v>37</v>
      </c>
      <c r="B21" s="3">
        <f>VLOOKUP(site_code,site_table,4,0)</f>
        <v>8</v>
      </c>
    </row>
    <row r="22" spans="1:3" x14ac:dyDescent="0.25">
      <c r="A22" s="8" t="s">
        <v>38</v>
      </c>
      <c r="B22" s="3">
        <f>VLOOKUP(site_code,site_table,5,0)</f>
        <v>9</v>
      </c>
    </row>
    <row r="23" spans="1:3" x14ac:dyDescent="0.25">
      <c r="A23" s="8" t="s">
        <v>39</v>
      </c>
      <c r="B23" s="3">
        <f>VLOOKUP(site_code,site_table,6,0)</f>
        <v>8</v>
      </c>
    </row>
    <row r="24" spans="1:3" x14ac:dyDescent="0.25">
      <c r="A24" s="8" t="s">
        <v>40</v>
      </c>
      <c r="B24" s="3" t="str">
        <f>VLOOKUP(site_code,site_table,7,0)</f>
        <v>Pass</v>
      </c>
    </row>
  </sheetData>
  <sortState xmlns:xlrd2="http://schemas.microsoft.com/office/spreadsheetml/2017/richdata2" ref="A4:A11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Task 1</vt:lpstr>
      <vt:lpstr>Task 2</vt:lpstr>
      <vt:lpstr>'Task 1'!site_code</vt:lpstr>
      <vt:lpstr>site_code</vt:lpstr>
      <vt:lpstr>'Task 1'!site_table</vt:lpstr>
      <vt:lpstr>site_table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2018-02-26T16:29:15Z</dcterms:created>
  <dcterms:modified xsi:type="dcterms:W3CDTF">2026-10-05T03:44:02Z</dcterms:modified>
</cp:coreProperties>
</file>