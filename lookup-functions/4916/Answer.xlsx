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af-3706\"/>
    </mc:Choice>
  </mc:AlternateContent>
  <xr:revisionPtr revIDLastSave="0" documentId="13_ncr:1_{DEEAC805-410C-444A-BF4E-6D66E23077A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ask 1" sheetId="2" r:id="rId1"/>
    <sheet name="Task 2" sheetId="1" r:id="rId2"/>
  </sheets>
  <definedNames>
    <definedName name="Book_table" localSheetId="0">'Task 1'!$A$4:$G$15</definedName>
    <definedName name="Book_table">'Task 2'!$A$4:$G$15</definedName>
    <definedName name="ISBN_Code" localSheetId="0">'Task 1'!$B$18</definedName>
    <definedName name="ISBN_Code">'Task 2'!$B$18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2" l="1"/>
  <c r="B20" i="2"/>
  <c r="B19" i="2"/>
  <c r="I1" i="2"/>
  <c r="B21" i="1"/>
  <c r="B20" i="1"/>
  <c r="B19" i="1"/>
  <c r="G15" i="2" l="1"/>
  <c r="G14" i="2"/>
  <c r="G13" i="2"/>
  <c r="G12" i="2"/>
  <c r="G11" i="2"/>
  <c r="G10" i="2"/>
  <c r="G9" i="2"/>
  <c r="G8" i="2"/>
  <c r="G7" i="2"/>
  <c r="B22" i="2" s="1"/>
  <c r="G6" i="2"/>
  <c r="G5" i="2"/>
  <c r="G4" i="2"/>
  <c r="I1" i="1"/>
  <c r="G4" i="1" l="1"/>
  <c r="G9" i="1"/>
  <c r="G14" i="1"/>
  <c r="G6" i="1"/>
  <c r="G13" i="1"/>
  <c r="G5" i="1"/>
  <c r="G12" i="1"/>
  <c r="G11" i="1"/>
  <c r="G10" i="1"/>
  <c r="G8" i="1"/>
  <c r="G15" i="1"/>
  <c r="G7" i="1"/>
  <c r="B22" i="1" s="1"/>
</calcChain>
</file>

<file path=xl/sharedStrings.xml><?xml version="1.0" encoding="utf-8"?>
<sst xmlns="http://schemas.openxmlformats.org/spreadsheetml/2006/main" count="104" uniqueCount="36">
  <si>
    <t>Community Library Database</t>
  </si>
  <si>
    <t>Book ISBN</t>
  </si>
  <si>
    <t>Status</t>
  </si>
  <si>
    <t>Purchase Cost</t>
  </si>
  <si>
    <t>Category</t>
  </si>
  <si>
    <t>Purchase Date</t>
  </si>
  <si>
    <t>Expiry Date</t>
  </si>
  <si>
    <t>978-0-331-95055-01-4</t>
  </si>
  <si>
    <t>978-0-553-81762-01-5</t>
  </si>
  <si>
    <t>978-1-128-95055-01-3</t>
  </si>
  <si>
    <t>978-0-419-96298-02-3</t>
  </si>
  <si>
    <t>978-1-40020-96298-02-1</t>
  </si>
  <si>
    <t>978-1-40020-81762-01-6</t>
  </si>
  <si>
    <t>978-0-518-96298-01-2</t>
  </si>
  <si>
    <t>978-0-447-96298-02-6</t>
  </si>
  <si>
    <t>978-0-662-95055-01-2</t>
  </si>
  <si>
    <t>978-0-394-81762-02-1</t>
  </si>
  <si>
    <t>978-1-119-95055-02-4</t>
  </si>
  <si>
    <t>978-0-261-81762-01-2</t>
  </si>
  <si>
    <t>Out</t>
  </si>
  <si>
    <t>In</t>
  </si>
  <si>
    <t>Crime</t>
  </si>
  <si>
    <t>Medical</t>
  </si>
  <si>
    <t>Travel</t>
  </si>
  <si>
    <t>Cookery</t>
  </si>
  <si>
    <t>Architecture</t>
  </si>
  <si>
    <t>Gardening</t>
  </si>
  <si>
    <t>Astronomy</t>
  </si>
  <si>
    <t>Days to Expiry</t>
  </si>
  <si>
    <t>Book ISBN:</t>
  </si>
  <si>
    <t>Status:</t>
  </si>
  <si>
    <t>Category:</t>
  </si>
  <si>
    <t>Expiry Date:</t>
  </si>
  <si>
    <t>No Days to Expiry:</t>
  </si>
  <si>
    <t>Search:</t>
  </si>
  <si>
    <t>Reference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</si>
</sst>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14" fontId="0" fillId="0" borderId="1" xfId="0" applyNumberFormat="1" applyBorder="1"/>
    <xf numFmtId="0" fontId="2" fillId="0" borderId="0" xfId="0" applyFont="1"/>
    <xf numFmtId="14" fontId="4" fillId="2" borderId="1" xfId="0" applyNumberFormat="1" applyFont="1" applyFill="1" applyBorder="1"/>
    <xf numFmtId="0" fontId="3" fillId="0" borderId="0" xfId="0" applyFont="1" applyAlignment="1">
      <alignment horizontal="right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 indent="2"/>
    </xf>
    <xf numFmtId="164" fontId="0" fillId="0" borderId="0" xfId="0" applyNumberFormat="1"/>
    <xf numFmtId="14" fontId="0" fillId="0" borderId="0" xfId="0" applyNumberFormat="1"/>
    <xf numFmtId="0" fontId="5" fillId="0" borderId="0" xfId="0" applyFont="1" applyAlignment="1">
      <alignment horizontal="right" indent="2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A6597-ADBF-49C7-990D-D296128616FB}">
  <dimension ref="A1:I22"/>
  <sheetViews>
    <sheetView tabSelected="1" zoomScale="85" zoomScaleNormal="85" workbookViewId="0">
      <selection activeCell="I17" sqref="I17"/>
    </sheetView>
  </sheetViews>
  <sheetFormatPr defaultRowHeight="15" x14ac:dyDescent="0.25"/>
  <cols>
    <col min="1" max="1" width="21.28515625" customWidth="1"/>
    <col min="2" max="2" width="6" style="1" bestFit="1" customWidth="1"/>
    <col min="3" max="3" width="11.140625" style="1" bestFit="1" customWidth="1"/>
    <col min="4" max="4" width="8.85546875" customWidth="1"/>
    <col min="5" max="6" width="10.7109375" customWidth="1"/>
    <col min="7" max="7" width="7.85546875" style="1" customWidth="1"/>
    <col min="8" max="8" width="14.7109375" bestFit="1" customWidth="1"/>
    <col min="9" max="9" width="11.5703125" customWidth="1"/>
  </cols>
  <sheetData>
    <row r="1" spans="1:9" ht="21" x14ac:dyDescent="0.35">
      <c r="A1" s="6" t="s">
        <v>0</v>
      </c>
      <c r="H1" s="8" t="s">
        <v>35</v>
      </c>
      <c r="I1" s="7">
        <f ca="1">TODAY()</f>
        <v>46300</v>
      </c>
    </row>
    <row r="3" spans="1:9" s="9" customFormat="1" ht="30" x14ac:dyDescent="0.25">
      <c r="A3" s="10" t="s">
        <v>1</v>
      </c>
      <c r="B3" s="11" t="s">
        <v>2</v>
      </c>
      <c r="C3" s="11" t="s">
        <v>4</v>
      </c>
      <c r="D3" s="12" t="s">
        <v>3</v>
      </c>
      <c r="E3" s="12" t="s">
        <v>5</v>
      </c>
      <c r="F3" s="12" t="s">
        <v>6</v>
      </c>
      <c r="G3" s="11" t="s">
        <v>28</v>
      </c>
    </row>
    <row r="4" spans="1:9" x14ac:dyDescent="0.25">
      <c r="A4" s="2" t="s">
        <v>7</v>
      </c>
      <c r="B4" s="3" t="s">
        <v>19</v>
      </c>
      <c r="C4" s="3" t="s">
        <v>21</v>
      </c>
      <c r="D4" s="4">
        <v>25.99</v>
      </c>
      <c r="E4" s="5">
        <v>45334</v>
      </c>
      <c r="F4" s="5">
        <v>52637</v>
      </c>
      <c r="G4" s="3">
        <f ca="1">F4-$I$1</f>
        <v>6337</v>
      </c>
    </row>
    <row r="5" spans="1:9" x14ac:dyDescent="0.25">
      <c r="A5" s="2" t="s">
        <v>11</v>
      </c>
      <c r="B5" s="3" t="s">
        <v>19</v>
      </c>
      <c r="C5" s="3" t="s">
        <v>22</v>
      </c>
      <c r="D5" s="4">
        <v>12.99</v>
      </c>
      <c r="E5" s="5">
        <v>44427</v>
      </c>
      <c r="F5" s="5">
        <v>51730</v>
      </c>
      <c r="G5" s="3">
        <f t="shared" ref="G5:G15" ca="1" si="0">F5-$I$1</f>
        <v>5430</v>
      </c>
    </row>
    <row r="6" spans="1:9" x14ac:dyDescent="0.25">
      <c r="A6" s="2" t="s">
        <v>8</v>
      </c>
      <c r="B6" s="3" t="s">
        <v>20</v>
      </c>
      <c r="C6" s="3" t="s">
        <v>23</v>
      </c>
      <c r="D6" s="4">
        <v>14</v>
      </c>
      <c r="E6" s="5">
        <v>43930</v>
      </c>
      <c r="F6" s="5">
        <v>51233</v>
      </c>
      <c r="G6" s="3">
        <f t="shared" ca="1" si="0"/>
        <v>4933</v>
      </c>
    </row>
    <row r="7" spans="1:9" x14ac:dyDescent="0.25">
      <c r="A7" s="2" t="s">
        <v>15</v>
      </c>
      <c r="B7" s="3" t="s">
        <v>19</v>
      </c>
      <c r="C7" s="3" t="s">
        <v>24</v>
      </c>
      <c r="D7" s="4">
        <v>18.989999999999998</v>
      </c>
      <c r="E7" s="5">
        <v>43045</v>
      </c>
      <c r="F7" s="5">
        <v>50348</v>
      </c>
      <c r="G7" s="3">
        <f t="shared" ca="1" si="0"/>
        <v>4048</v>
      </c>
    </row>
    <row r="8" spans="1:9" x14ac:dyDescent="0.25">
      <c r="A8" s="2" t="s">
        <v>9</v>
      </c>
      <c r="B8" s="3" t="s">
        <v>19</v>
      </c>
      <c r="C8" s="3" t="s">
        <v>21</v>
      </c>
      <c r="D8" s="4">
        <v>11.99</v>
      </c>
      <c r="E8" s="5">
        <v>45874</v>
      </c>
      <c r="F8" s="5">
        <v>53177</v>
      </c>
      <c r="G8" s="3">
        <f t="shared" ca="1" si="0"/>
        <v>6877</v>
      </c>
    </row>
    <row r="9" spans="1:9" x14ac:dyDescent="0.25">
      <c r="A9" s="2" t="s">
        <v>10</v>
      </c>
      <c r="B9" s="3" t="s">
        <v>19</v>
      </c>
      <c r="C9" s="3" t="s">
        <v>25</v>
      </c>
      <c r="D9" s="4">
        <v>35</v>
      </c>
      <c r="E9" s="5">
        <v>45016</v>
      </c>
      <c r="F9" s="5">
        <v>52319</v>
      </c>
      <c r="G9" s="3">
        <f t="shared" ca="1" si="0"/>
        <v>6019</v>
      </c>
    </row>
    <row r="10" spans="1:9" x14ac:dyDescent="0.25">
      <c r="A10" s="2" t="s">
        <v>12</v>
      </c>
      <c r="B10" s="3" t="s">
        <v>20</v>
      </c>
      <c r="C10" s="3" t="s">
        <v>23</v>
      </c>
      <c r="D10" s="4">
        <v>17</v>
      </c>
      <c r="E10" s="5">
        <v>43642</v>
      </c>
      <c r="F10" s="5">
        <v>50945</v>
      </c>
      <c r="G10" s="3">
        <f t="shared" ca="1" si="0"/>
        <v>4645</v>
      </c>
    </row>
    <row r="11" spans="1:9" x14ac:dyDescent="0.25">
      <c r="A11" s="2" t="s">
        <v>13</v>
      </c>
      <c r="B11" s="3" t="s">
        <v>19</v>
      </c>
      <c r="C11" s="3" t="s">
        <v>23</v>
      </c>
      <c r="D11" s="4">
        <v>9.99</v>
      </c>
      <c r="E11" s="5">
        <v>45883</v>
      </c>
      <c r="F11" s="5">
        <v>53186</v>
      </c>
      <c r="G11" s="3">
        <f t="shared" ca="1" si="0"/>
        <v>6886</v>
      </c>
    </row>
    <row r="12" spans="1:9" x14ac:dyDescent="0.25">
      <c r="A12" s="2" t="s">
        <v>14</v>
      </c>
      <c r="B12" s="3" t="s">
        <v>19</v>
      </c>
      <c r="C12" s="3" t="s">
        <v>26</v>
      </c>
      <c r="D12" s="4">
        <v>12.5</v>
      </c>
      <c r="E12" s="5">
        <v>44863</v>
      </c>
      <c r="F12" s="5">
        <v>52166</v>
      </c>
      <c r="G12" s="3">
        <f t="shared" ca="1" si="0"/>
        <v>5866</v>
      </c>
    </row>
    <row r="13" spans="1:9" x14ac:dyDescent="0.25">
      <c r="A13" s="2" t="s">
        <v>16</v>
      </c>
      <c r="B13" s="3" t="s">
        <v>20</v>
      </c>
      <c r="C13" s="3" t="s">
        <v>24</v>
      </c>
      <c r="D13" s="4">
        <v>17.5</v>
      </c>
      <c r="E13" s="5">
        <v>46025</v>
      </c>
      <c r="F13" s="5">
        <v>53328</v>
      </c>
      <c r="G13" s="3">
        <f t="shared" ca="1" si="0"/>
        <v>7028</v>
      </c>
    </row>
    <row r="14" spans="1:9" x14ac:dyDescent="0.25">
      <c r="A14" s="2" t="s">
        <v>17</v>
      </c>
      <c r="B14" s="3" t="s">
        <v>20</v>
      </c>
      <c r="C14" s="3" t="s">
        <v>26</v>
      </c>
      <c r="D14" s="4">
        <v>13.5</v>
      </c>
      <c r="E14" s="5">
        <v>42558</v>
      </c>
      <c r="F14" s="5">
        <v>49861</v>
      </c>
      <c r="G14" s="3">
        <f t="shared" ca="1" si="0"/>
        <v>3561</v>
      </c>
    </row>
    <row r="15" spans="1:9" x14ac:dyDescent="0.25">
      <c r="A15" s="2" t="s">
        <v>18</v>
      </c>
      <c r="B15" s="3" t="s">
        <v>19</v>
      </c>
      <c r="C15" s="3" t="s">
        <v>27</v>
      </c>
      <c r="D15" s="4">
        <v>24.5</v>
      </c>
      <c r="E15" s="5">
        <v>45076</v>
      </c>
      <c r="F15" s="5">
        <v>52379</v>
      </c>
      <c r="G15" s="3">
        <f t="shared" ca="1" si="0"/>
        <v>6079</v>
      </c>
    </row>
    <row r="16" spans="1:9" x14ac:dyDescent="0.25">
      <c r="D16" s="14"/>
      <c r="E16" s="15"/>
      <c r="F16" s="15"/>
    </row>
    <row r="17" spans="1:5" ht="21" x14ac:dyDescent="0.35">
      <c r="A17" s="16" t="s">
        <v>34</v>
      </c>
    </row>
    <row r="18" spans="1:5" x14ac:dyDescent="0.25">
      <c r="A18" s="13" t="s">
        <v>29</v>
      </c>
      <c r="B18" s="17" t="s">
        <v>12</v>
      </c>
      <c r="C18" s="17"/>
      <c r="D18" s="17"/>
      <c r="E18" s="17"/>
    </row>
    <row r="19" spans="1:5" x14ac:dyDescent="0.25">
      <c r="A19" s="13" t="s">
        <v>30</v>
      </c>
      <c r="B19" s="18" t="str">
        <f>VLOOKUP(ISBN_Code,Book_table,2,FALSE)</f>
        <v>In</v>
      </c>
      <c r="C19" s="18"/>
    </row>
    <row r="20" spans="1:5" x14ac:dyDescent="0.25">
      <c r="A20" s="13" t="s">
        <v>31</v>
      </c>
      <c r="B20" s="18" t="str">
        <f>VLOOKUP(ISBN_Code,Book_table,3,FALSE)</f>
        <v>Travel</v>
      </c>
      <c r="C20" s="18"/>
    </row>
    <row r="21" spans="1:5" x14ac:dyDescent="0.25">
      <c r="A21" s="13" t="s">
        <v>32</v>
      </c>
      <c r="B21" s="18">
        <f>VLOOKUP(ISBN_Code,Book_table,6,FALSE)</f>
        <v>50945</v>
      </c>
      <c r="C21" s="18"/>
    </row>
    <row r="22" spans="1:5" x14ac:dyDescent="0.25">
      <c r="A22" s="13" t="s">
        <v>33</v>
      </c>
      <c r="B22" s="18">
        <f ca="1">VLOOKUP(ISBN_Code,Book_table,7,FALSE)</f>
        <v>4645</v>
      </c>
      <c r="C22" s="18"/>
    </row>
  </sheetData>
  <mergeCells count="5">
    <mergeCell ref="B18:E18"/>
    <mergeCell ref="B19:C19"/>
    <mergeCell ref="B20:C20"/>
    <mergeCell ref="B21:C21"/>
    <mergeCell ref="B22:C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zoomScale="85" zoomScaleNormal="85" workbookViewId="0">
      <selection activeCell="B19" sqref="B19:C19"/>
    </sheetView>
  </sheetViews>
  <sheetFormatPr defaultRowHeight="15" x14ac:dyDescent="0.25"/>
  <cols>
    <col min="1" max="1" width="21.28515625" customWidth="1"/>
    <col min="2" max="2" width="6" style="1" bestFit="1" customWidth="1"/>
    <col min="3" max="3" width="11.140625" style="1" bestFit="1" customWidth="1"/>
    <col min="4" max="4" width="8.85546875" customWidth="1"/>
    <col min="5" max="6" width="10.7109375" customWidth="1"/>
    <col min="7" max="7" width="7.85546875" style="1" customWidth="1"/>
    <col min="8" max="8" width="14.7109375" bestFit="1" customWidth="1"/>
    <col min="9" max="9" width="11.5703125" customWidth="1"/>
  </cols>
  <sheetData>
    <row r="1" spans="1:9" ht="21" x14ac:dyDescent="0.35">
      <c r="A1" s="6" t="s">
        <v>0</v>
      </c>
      <c r="H1" s="8" t="s">
        <v>35</v>
      </c>
      <c r="I1" s="7">
        <f ca="1">TODAY()</f>
        <v>46300</v>
      </c>
    </row>
    <row r="3" spans="1:9" s="9" customFormat="1" ht="30" x14ac:dyDescent="0.25">
      <c r="A3" s="10" t="s">
        <v>1</v>
      </c>
      <c r="B3" s="11" t="s">
        <v>2</v>
      </c>
      <c r="C3" s="11" t="s">
        <v>4</v>
      </c>
      <c r="D3" s="12" t="s">
        <v>3</v>
      </c>
      <c r="E3" s="12" t="s">
        <v>5</v>
      </c>
      <c r="F3" s="12" t="s">
        <v>6</v>
      </c>
      <c r="G3" s="11" t="s">
        <v>28</v>
      </c>
    </row>
    <row r="4" spans="1:9" x14ac:dyDescent="0.25">
      <c r="A4" s="2" t="s">
        <v>7</v>
      </c>
      <c r="B4" s="3" t="s">
        <v>19</v>
      </c>
      <c r="C4" s="3" t="s">
        <v>21</v>
      </c>
      <c r="D4" s="4">
        <v>25.99</v>
      </c>
      <c r="E4" s="5">
        <v>45334</v>
      </c>
      <c r="F4" s="5">
        <v>52637</v>
      </c>
      <c r="G4" s="3">
        <f ca="1">F4-$I$1</f>
        <v>6337</v>
      </c>
    </row>
    <row r="5" spans="1:9" x14ac:dyDescent="0.25">
      <c r="A5" s="2" t="s">
        <v>11</v>
      </c>
      <c r="B5" s="3" t="s">
        <v>19</v>
      </c>
      <c r="C5" s="3" t="s">
        <v>22</v>
      </c>
      <c r="D5" s="4">
        <v>12.99</v>
      </c>
      <c r="E5" s="5">
        <v>44427</v>
      </c>
      <c r="F5" s="5">
        <v>51730</v>
      </c>
      <c r="G5" s="3">
        <f t="shared" ref="G5:G15" ca="1" si="0">F5-$I$1</f>
        <v>5430</v>
      </c>
    </row>
    <row r="6" spans="1:9" x14ac:dyDescent="0.25">
      <c r="A6" s="2" t="s">
        <v>8</v>
      </c>
      <c r="B6" s="3" t="s">
        <v>20</v>
      </c>
      <c r="C6" s="3" t="s">
        <v>23</v>
      </c>
      <c r="D6" s="4">
        <v>14</v>
      </c>
      <c r="E6" s="5">
        <v>43930</v>
      </c>
      <c r="F6" s="5">
        <v>51233</v>
      </c>
      <c r="G6" s="3">
        <f t="shared" ca="1" si="0"/>
        <v>4933</v>
      </c>
    </row>
    <row r="7" spans="1:9" x14ac:dyDescent="0.25">
      <c r="A7" s="2" t="s">
        <v>15</v>
      </c>
      <c r="B7" s="3" t="s">
        <v>19</v>
      </c>
      <c r="C7" s="3" t="s">
        <v>24</v>
      </c>
      <c r="D7" s="4">
        <v>18.989999999999998</v>
      </c>
      <c r="E7" s="5">
        <v>43045</v>
      </c>
      <c r="F7" s="5">
        <v>50348</v>
      </c>
      <c r="G7" s="3">
        <f t="shared" ca="1" si="0"/>
        <v>4048</v>
      </c>
    </row>
    <row r="8" spans="1:9" x14ac:dyDescent="0.25">
      <c r="A8" s="2" t="s">
        <v>9</v>
      </c>
      <c r="B8" s="3" t="s">
        <v>19</v>
      </c>
      <c r="C8" s="3" t="s">
        <v>21</v>
      </c>
      <c r="D8" s="4">
        <v>11.99</v>
      </c>
      <c r="E8" s="5">
        <v>45874</v>
      </c>
      <c r="F8" s="5">
        <v>53177</v>
      </c>
      <c r="G8" s="3">
        <f t="shared" ca="1" si="0"/>
        <v>6877</v>
      </c>
    </row>
    <row r="9" spans="1:9" x14ac:dyDescent="0.25">
      <c r="A9" s="2" t="s">
        <v>10</v>
      </c>
      <c r="B9" s="3" t="s">
        <v>19</v>
      </c>
      <c r="C9" s="3" t="s">
        <v>25</v>
      </c>
      <c r="D9" s="4">
        <v>35</v>
      </c>
      <c r="E9" s="5">
        <v>45016</v>
      </c>
      <c r="F9" s="5">
        <v>52319</v>
      </c>
      <c r="G9" s="3">
        <f t="shared" ca="1" si="0"/>
        <v>6019</v>
      </c>
    </row>
    <row r="10" spans="1:9" x14ac:dyDescent="0.25">
      <c r="A10" s="2" t="s">
        <v>12</v>
      </c>
      <c r="B10" s="3" t="s">
        <v>20</v>
      </c>
      <c r="C10" s="3" t="s">
        <v>23</v>
      </c>
      <c r="D10" s="4">
        <v>17</v>
      </c>
      <c r="E10" s="5">
        <v>43642</v>
      </c>
      <c r="F10" s="5">
        <v>50945</v>
      </c>
      <c r="G10" s="3">
        <f t="shared" ca="1" si="0"/>
        <v>4645</v>
      </c>
    </row>
    <row r="11" spans="1:9" x14ac:dyDescent="0.25">
      <c r="A11" s="2" t="s">
        <v>13</v>
      </c>
      <c r="B11" s="3" t="s">
        <v>19</v>
      </c>
      <c r="C11" s="3" t="s">
        <v>23</v>
      </c>
      <c r="D11" s="4">
        <v>9.99</v>
      </c>
      <c r="E11" s="5">
        <v>45883</v>
      </c>
      <c r="F11" s="5">
        <v>53186</v>
      </c>
      <c r="G11" s="3">
        <f t="shared" ca="1" si="0"/>
        <v>6886</v>
      </c>
    </row>
    <row r="12" spans="1:9" x14ac:dyDescent="0.25">
      <c r="A12" s="2" t="s">
        <v>14</v>
      </c>
      <c r="B12" s="3" t="s">
        <v>19</v>
      </c>
      <c r="C12" s="3" t="s">
        <v>26</v>
      </c>
      <c r="D12" s="4">
        <v>12.5</v>
      </c>
      <c r="E12" s="5">
        <v>44863</v>
      </c>
      <c r="F12" s="5">
        <v>52166</v>
      </c>
      <c r="G12" s="3">
        <f t="shared" ca="1" si="0"/>
        <v>5866</v>
      </c>
    </row>
    <row r="13" spans="1:9" x14ac:dyDescent="0.25">
      <c r="A13" s="2" t="s">
        <v>16</v>
      </c>
      <c r="B13" s="3" t="s">
        <v>20</v>
      </c>
      <c r="C13" s="3" t="s">
        <v>24</v>
      </c>
      <c r="D13" s="4">
        <v>17.5</v>
      </c>
      <c r="E13" s="5">
        <v>46025</v>
      </c>
      <c r="F13" s="5">
        <v>53328</v>
      </c>
      <c r="G13" s="3">
        <f t="shared" ca="1" si="0"/>
        <v>7028</v>
      </c>
    </row>
    <row r="14" spans="1:9" x14ac:dyDescent="0.25">
      <c r="A14" s="2" t="s">
        <v>17</v>
      </c>
      <c r="B14" s="3" t="s">
        <v>20</v>
      </c>
      <c r="C14" s="3" t="s">
        <v>26</v>
      </c>
      <c r="D14" s="4">
        <v>13.5</v>
      </c>
      <c r="E14" s="5">
        <v>42558</v>
      </c>
      <c r="F14" s="5">
        <v>49861</v>
      </c>
      <c r="G14" s="3">
        <f t="shared" ca="1" si="0"/>
        <v>3561</v>
      </c>
    </row>
    <row r="15" spans="1:9" x14ac:dyDescent="0.25">
      <c r="A15" s="2" t="s">
        <v>18</v>
      </c>
      <c r="B15" s="3" t="s">
        <v>19</v>
      </c>
      <c r="C15" s="3" t="s">
        <v>27</v>
      </c>
      <c r="D15" s="4">
        <v>24.5</v>
      </c>
      <c r="E15" s="5">
        <v>45076</v>
      </c>
      <c r="F15" s="5">
        <v>52379</v>
      </c>
      <c r="G15" s="3">
        <f t="shared" ca="1" si="0"/>
        <v>6079</v>
      </c>
    </row>
    <row r="16" spans="1:9" x14ac:dyDescent="0.25">
      <c r="D16" s="14"/>
      <c r="E16" s="15"/>
      <c r="F16" s="15"/>
    </row>
    <row r="17" spans="1:5" ht="21" x14ac:dyDescent="0.35">
      <c r="A17" s="16" t="s">
        <v>34</v>
      </c>
    </row>
    <row r="18" spans="1:5" x14ac:dyDescent="0.25">
      <c r="A18" s="13" t="s">
        <v>29</v>
      </c>
      <c r="B18" s="17" t="s">
        <v>15</v>
      </c>
      <c r="C18" s="17"/>
      <c r="D18" s="17"/>
      <c r="E18" s="17"/>
    </row>
    <row r="19" spans="1:5" x14ac:dyDescent="0.25">
      <c r="A19" s="13" t="s">
        <v>30</v>
      </c>
      <c r="B19" s="18" t="str">
        <f>VLOOKUP(ISBN_Code,Book_table,2,FALSE)</f>
        <v>Out</v>
      </c>
      <c r="C19" s="18"/>
    </row>
    <row r="20" spans="1:5" x14ac:dyDescent="0.25">
      <c r="A20" s="13" t="s">
        <v>31</v>
      </c>
      <c r="B20" s="18" t="str">
        <f>VLOOKUP(ISBN_Code,Book_table,3,FALSE)</f>
        <v>Cookery</v>
      </c>
      <c r="C20" s="18"/>
    </row>
    <row r="21" spans="1:5" x14ac:dyDescent="0.25">
      <c r="A21" s="13" t="s">
        <v>32</v>
      </c>
      <c r="B21" s="18">
        <f>VLOOKUP(ISBN_Code,Book_table,6,FALSE)</f>
        <v>50348</v>
      </c>
      <c r="C21" s="18"/>
    </row>
    <row r="22" spans="1:5" x14ac:dyDescent="0.25">
      <c r="A22" s="13" t="s">
        <v>33</v>
      </c>
      <c r="B22" s="18">
        <f ca="1">VLOOKUP(ISBN_Code,Book_table,7,FALSE)</f>
        <v>4048</v>
      </c>
      <c r="C22" s="18"/>
    </row>
  </sheetData>
  <mergeCells count="5">
    <mergeCell ref="B18:E18"/>
    <mergeCell ref="B19:C19"/>
    <mergeCell ref="B20:C20"/>
    <mergeCell ref="B21:C21"/>
    <mergeCell ref="B22:C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Task 1</vt:lpstr>
      <vt:lpstr>Task 2</vt:lpstr>
      <vt:lpstr>'Task 1'!Book_table</vt:lpstr>
      <vt:lpstr>Book_table</vt:lpstr>
      <vt:lpstr>'Task 1'!ISBN_Code</vt:lpstr>
      <vt:lpstr>ISBN_Code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2018-03-18T14:45:52Z</dcterms:created>
  <dcterms:modified xsi:type="dcterms:W3CDTF">2026-10-05T03:23:33Z</dcterms:modified>
</cp:coreProperties>
</file>