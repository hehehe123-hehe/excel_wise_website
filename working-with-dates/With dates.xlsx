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52\"/>
    </mc:Choice>
  </mc:AlternateContent>
  <xr:revisionPtr revIDLastSave="0" documentId="8_{1CEB3051-F99F-48CB-9127-E037A22E79A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Cover" sheetId="4" r:id="rId1"/>
    <sheet name="Inputs" sheetId="2" r:id="rId2"/>
  </sheets>
  <definedNames>
    <definedName name="CoverComp">Cover!$D$5</definedName>
    <definedName name="CoverStartYear">Cover!#REF!</definedName>
    <definedName name="CstHousingPrice">Inputs!$E$16</definedName>
    <definedName name="CstHousingRate">Inputs!$F$17:$O$17</definedName>
    <definedName name="CstLivingDaily">Inputs!$F$12:$O$12</definedName>
    <definedName name="CstLivingLoose">Inputs!$F$13:$O$13</definedName>
    <definedName name="ModelYear">Inputs!$F$3:$O$3</definedName>
    <definedName name="NetCstHousing">#REF!</definedName>
    <definedName name="NetCstLiving">#REF!</definedName>
    <definedName name="NetIncome">#REF!</definedName>
    <definedName name="NetRev">#REF!</definedName>
    <definedName name="RevDownloads">Inputs!$F$9:$O$9</definedName>
    <definedName name="RevTouring">Inputs!$F$8:$O$8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4" l="1"/>
  <c r="F3" i="2" s="1"/>
  <c r="F4" i="2" l="1"/>
  <c r="G3" i="2" l="1"/>
  <c r="G4" i="2" l="1"/>
  <c r="H3" i="2" l="1"/>
  <c r="H4" i="2" s="1"/>
  <c r="I3" i="2" l="1"/>
  <c r="I4" i="2" s="1"/>
  <c r="J3" i="2" l="1"/>
  <c r="J4" i="2" s="1"/>
  <c r="K3" i="2" l="1"/>
  <c r="K4" i="2" s="1"/>
  <c r="L3" i="2" l="1"/>
  <c r="L4" i="2" s="1"/>
  <c r="M3" i="2" l="1"/>
  <c r="M4" i="2" s="1"/>
  <c r="N3" i="2" l="1"/>
  <c r="N4" i="2" s="1"/>
  <c r="O3" i="2" l="1"/>
  <c r="O4" i="2" s="1"/>
</calcChain>
</file>

<file path=xl/sharedStrings.xml><?xml version="1.0" encoding="utf-8"?>
<sst xmlns="http://schemas.openxmlformats.org/spreadsheetml/2006/main" count="28" uniqueCount="24">
  <si>
    <t>Version ==&gt;</t>
  </si>
  <si>
    <t>Status ==&gt;</t>
  </si>
  <si>
    <t>Untested</t>
  </si>
  <si>
    <t>Model name ==&gt;</t>
  </si>
  <si>
    <t>Lifestyle management</t>
  </si>
  <si>
    <t>Competition ==&gt;</t>
  </si>
  <si>
    <t>Units</t>
  </si>
  <si>
    <t>Projected income</t>
  </si>
  <si>
    <t>Touring fees</t>
  </si>
  <si>
    <t>£'000</t>
  </si>
  <si>
    <t>Downloads</t>
  </si>
  <si>
    <t>Day-to-day expenses</t>
  </si>
  <si>
    <t>Loose living</t>
  </si>
  <si>
    <t>Living expenses</t>
  </si>
  <si>
    <t>Housing</t>
  </si>
  <si>
    <t>House price</t>
  </si>
  <si>
    <t>%</t>
  </si>
  <si>
    <t>Mortgage rate</t>
  </si>
  <si>
    <t>CstHousingPrice</t>
  </si>
  <si>
    <t>Today's date ==&gt;</t>
  </si>
  <si>
    <t>Months of Model</t>
  </si>
  <si>
    <t>Start of month==&gt;</t>
  </si>
  <si>
    <t>End of month==&gt;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</si>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</sst>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#,##0_);\(#,##0\)"/>
    <numFmt numFmtId="169" formatCode="[$-13809]dd\ mmm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4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4" borderId="1">
      <alignment horizontal="right" indent="1"/>
    </xf>
    <xf numFmtId="166" fontId="1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5" fillId="0" borderId="0" xfId="3"/>
    <xf numFmtId="0" fontId="2" fillId="0" borderId="0" xfId="4"/>
    <xf numFmtId="166" fontId="1" fillId="4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165" fontId="1" fillId="4" borderId="1" xfId="8">
      <alignment horizontal="right" indent="1"/>
    </xf>
    <xf numFmtId="0" fontId="2" fillId="0" borderId="0" xfId="7" applyAlignment="1">
      <alignment horizontal="right" indent="1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14" fontId="1" fillId="5" borderId="1" xfId="10" applyNumberFormat="1" applyFill="1" applyBorder="1" applyAlignment="1">
      <alignment horizontal="center" vertical="center"/>
    </xf>
    <xf numFmtId="169" fontId="0" fillId="5" borderId="12" xfId="0" applyNumberFormat="1" applyFill="1" applyBorder="1" applyAlignment="1">
      <alignment horizontal="center"/>
    </xf>
    <xf numFmtId="169" fontId="0" fillId="5" borderId="13" xfId="0" applyNumberFormat="1" applyFill="1" applyBorder="1" applyAlignment="1">
      <alignment horizontal="center"/>
    </xf>
    <xf numFmtId="169" fontId="0" fillId="5" borderId="10" xfId="0" applyNumberFormat="1" applyFill="1" applyBorder="1" applyAlignment="1">
      <alignment horizontal="center"/>
    </xf>
    <xf numFmtId="169" fontId="0" fillId="5" borderId="11" xfId="0" applyNumberFormat="1" applyFill="1" applyBorder="1" applyAlignment="1">
      <alignment horizontal="center"/>
    </xf>
  </cellXfs>
  <cellStyles count="11">
    <cellStyle name="CalcMoney" xfId="9" xr:uid="{00000000-0005-0000-0000-000000000000}"/>
    <cellStyle name="Comma" xfId="10" builtinId="3"/>
    <cellStyle name="CoverCell" xfId="1" xr:uid="{00000000-0005-0000-0000-000002000000}"/>
    <cellStyle name="CoverLabel" xfId="2" xr:uid="{00000000-0005-0000-0000-000003000000}"/>
    <cellStyle name="InputMoney" xfId="5" xr:uid="{00000000-0005-0000-0000-000004000000}"/>
    <cellStyle name="InputPercent" xfId="8" xr:uid="{00000000-0005-0000-0000-000005000000}"/>
    <cellStyle name="LineItem" xfId="4" xr:uid="{00000000-0005-0000-0000-000006000000}"/>
    <cellStyle name="LineTitle" xfId="3" xr:uid="{00000000-0005-0000-0000-000007000000}"/>
    <cellStyle name="Normal" xfId="0" builtinId="0"/>
    <cellStyle name="RangeName" xfId="6" xr:uid="{00000000-0005-0000-0000-000009000000}"/>
    <cellStyle name="Units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11.2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0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23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19</v>
      </c>
      <c r="D13" s="25">
        <f ca="1">TODAY()</f>
        <v>46296</v>
      </c>
      <c r="E13" s="8"/>
    </row>
    <row r="14" spans="2:5" ht="15.75" thickBot="1" x14ac:dyDescent="0.3">
      <c r="B14" s="9"/>
      <c r="C14" s="10"/>
      <c r="D14" s="11"/>
      <c r="E14" s="12"/>
    </row>
    <row r="15" spans="2:5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8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6" sqref="I6"/>
    </sheetView>
  </sheetViews>
  <sheetFormatPr defaultRowHeight="15" x14ac:dyDescent="0.25"/>
  <cols>
    <col min="2" max="2" width="20.42578125" style="16" customWidth="1"/>
    <col min="3" max="3" width="5.7109375" customWidth="1"/>
    <col min="4" max="4" width="9.140625" style="19"/>
    <col min="5" max="5" width="19" bestFit="1" customWidth="1"/>
    <col min="6" max="6" width="14.140625" bestFit="1" customWidth="1"/>
    <col min="7" max="7" width="11.42578125" bestFit="1" customWidth="1"/>
    <col min="8" max="8" width="11.140625" bestFit="1" customWidth="1"/>
    <col min="9" max="9" width="10.7109375" bestFit="1" customWidth="1"/>
    <col min="10" max="10" width="11.140625" bestFit="1" customWidth="1"/>
    <col min="11" max="11" width="11.28515625" bestFit="1" customWidth="1"/>
    <col min="12" max="12" width="11" bestFit="1" customWidth="1"/>
    <col min="13" max="13" width="11.5703125" bestFit="1" customWidth="1"/>
    <col min="14" max="14" width="10.85546875" bestFit="1" customWidth="1"/>
    <col min="15" max="15" width="10.28515625" bestFit="1" customWidth="1"/>
    <col min="16" max="16" width="14" style="18" bestFit="1" customWidth="1"/>
  </cols>
  <sheetData>
    <row r="2" spans="1:16" x14ac:dyDescent="0.25">
      <c r="F2" s="22" t="s">
        <v>20</v>
      </c>
      <c r="G2" s="23"/>
      <c r="H2" s="23"/>
      <c r="I2" s="23"/>
      <c r="J2" s="23"/>
      <c r="K2" s="23"/>
      <c r="L2" s="23"/>
      <c r="M2" s="23"/>
      <c r="N2" s="23"/>
      <c r="O2" s="24"/>
    </row>
    <row r="3" spans="1:16" x14ac:dyDescent="0.25">
      <c r="E3" s="21" t="s">
        <v>21</v>
      </c>
      <c r="F3" s="26">
        <f ca="1">EOMONTH(Cover!$D$13,-1)+1</f>
        <v>46296</v>
      </c>
      <c r="G3" s="27">
        <f ca="1">F4+1</f>
        <v>46327</v>
      </c>
      <c r="H3" s="27">
        <f t="shared" ref="H3:O3" ca="1" si="0">G4+1</f>
        <v>46357</v>
      </c>
      <c r="I3" s="27">
        <f t="shared" ca="1" si="0"/>
        <v>46388</v>
      </c>
      <c r="J3" s="27">
        <f t="shared" ca="1" si="0"/>
        <v>46419</v>
      </c>
      <c r="K3" s="27">
        <f t="shared" ca="1" si="0"/>
        <v>46447</v>
      </c>
      <c r="L3" s="27">
        <f t="shared" ca="1" si="0"/>
        <v>46478</v>
      </c>
      <c r="M3" s="27">
        <f t="shared" ca="1" si="0"/>
        <v>46508</v>
      </c>
      <c r="N3" s="27">
        <f t="shared" ca="1" si="0"/>
        <v>46539</v>
      </c>
      <c r="O3" s="27">
        <f t="shared" ca="1" si="0"/>
        <v>46569</v>
      </c>
      <c r="P3"/>
    </row>
    <row r="4" spans="1:16" x14ac:dyDescent="0.25">
      <c r="E4" s="21" t="s">
        <v>22</v>
      </c>
      <c r="F4" s="28">
        <f ca="1">EOMONTH(F3,0)</f>
        <v>46326</v>
      </c>
      <c r="G4" s="29">
        <f ca="1">EOMONTH(G3,0)</f>
        <v>46356</v>
      </c>
      <c r="H4" s="29">
        <f t="shared" ref="H4:O4" ca="1" si="1">EOMONTH(H3,0)</f>
        <v>46387</v>
      </c>
      <c r="I4" s="29">
        <f t="shared" ca="1" si="1"/>
        <v>46418</v>
      </c>
      <c r="J4" s="29">
        <f t="shared" ca="1" si="1"/>
        <v>46446</v>
      </c>
      <c r="K4" s="29">
        <f t="shared" ca="1" si="1"/>
        <v>46477</v>
      </c>
      <c r="L4" s="29">
        <f t="shared" ca="1" si="1"/>
        <v>46507</v>
      </c>
      <c r="M4" s="29">
        <f t="shared" ca="1" si="1"/>
        <v>46538</v>
      </c>
      <c r="N4" s="29">
        <f t="shared" ca="1" si="1"/>
        <v>46568</v>
      </c>
      <c r="O4" s="29">
        <f t="shared" ca="1" si="1"/>
        <v>46599</v>
      </c>
      <c r="P4"/>
    </row>
    <row r="5" spans="1:16" x14ac:dyDescent="0.25">
      <c r="E5" s="21"/>
      <c r="P5"/>
    </row>
    <row r="6" spans="1:16" ht="10.5" customHeight="1" x14ac:dyDescent="0.25">
      <c r="D6" s="19" t="s">
        <v>6</v>
      </c>
      <c r="E6" s="19"/>
      <c r="P6"/>
    </row>
    <row r="7" spans="1:16" x14ac:dyDescent="0.25">
      <c r="A7" s="15" t="s">
        <v>7</v>
      </c>
      <c r="P7"/>
    </row>
    <row r="8" spans="1:16" x14ac:dyDescent="0.25">
      <c r="B8" s="16" t="s">
        <v>8</v>
      </c>
      <c r="D8" s="19" t="s">
        <v>9</v>
      </c>
      <c r="F8" s="17">
        <v>66.666666666666671</v>
      </c>
      <c r="G8" s="17">
        <v>50</v>
      </c>
      <c r="H8" s="17">
        <v>37.5</v>
      </c>
      <c r="I8" s="17">
        <v>28.083333333333332</v>
      </c>
      <c r="J8" s="17">
        <v>21.083333333333332</v>
      </c>
      <c r="K8" s="17">
        <v>15.833333333333334</v>
      </c>
      <c r="L8" s="17">
        <v>11.833333333333334</v>
      </c>
      <c r="M8" s="17">
        <v>8.8333333333333339</v>
      </c>
      <c r="N8" s="17">
        <v>6.666666666666667</v>
      </c>
      <c r="O8" s="17">
        <v>5</v>
      </c>
      <c r="P8"/>
    </row>
    <row r="9" spans="1:16" x14ac:dyDescent="0.25">
      <c r="B9" s="16" t="s">
        <v>10</v>
      </c>
      <c r="D9" s="19" t="s">
        <v>9</v>
      </c>
      <c r="F9" s="17">
        <v>75</v>
      </c>
      <c r="G9" s="17">
        <v>70.833333333333329</v>
      </c>
      <c r="H9" s="17">
        <v>66.666666666666671</v>
      </c>
      <c r="I9" s="17">
        <v>62.5</v>
      </c>
      <c r="J9" s="17">
        <v>58.333333333333336</v>
      </c>
      <c r="K9" s="17">
        <v>54.166666666666664</v>
      </c>
      <c r="L9" s="17">
        <v>50</v>
      </c>
      <c r="M9" s="17">
        <v>45.833333333333336</v>
      </c>
      <c r="N9" s="17">
        <v>41.666666666666664</v>
      </c>
      <c r="O9" s="17">
        <v>37.5</v>
      </c>
      <c r="P9"/>
    </row>
    <row r="10" spans="1:16" x14ac:dyDescent="0.25">
      <c r="P10"/>
    </row>
    <row r="11" spans="1:16" x14ac:dyDescent="0.25">
      <c r="A11" s="15" t="s">
        <v>13</v>
      </c>
      <c r="P11"/>
    </row>
    <row r="12" spans="1:16" x14ac:dyDescent="0.25">
      <c r="B12" s="16" t="s">
        <v>11</v>
      </c>
      <c r="D12" s="19" t="s">
        <v>9</v>
      </c>
      <c r="F12" s="17">
        <v>-25</v>
      </c>
      <c r="G12" s="17">
        <v>-25</v>
      </c>
      <c r="H12" s="17">
        <v>-25</v>
      </c>
      <c r="I12" s="17">
        <v>-25</v>
      </c>
      <c r="J12" s="17">
        <v>-25</v>
      </c>
      <c r="K12" s="17">
        <v>-25</v>
      </c>
      <c r="L12" s="17">
        <v>-25</v>
      </c>
      <c r="M12" s="17">
        <v>-25</v>
      </c>
      <c r="N12" s="17">
        <v>-25</v>
      </c>
      <c r="O12" s="17">
        <v>-25</v>
      </c>
      <c r="P12"/>
    </row>
    <row r="13" spans="1:16" x14ac:dyDescent="0.25">
      <c r="B13" s="16" t="s">
        <v>12</v>
      </c>
      <c r="D13" s="19" t="s">
        <v>9</v>
      </c>
      <c r="F13" s="17">
        <v>-16.666666666666668</v>
      </c>
      <c r="G13" s="17">
        <v>-16.666666666666668</v>
      </c>
      <c r="H13" s="17">
        <v>-16.666666666666668</v>
      </c>
      <c r="I13" s="17">
        <v>-16.666666666666668</v>
      </c>
      <c r="J13" s="17">
        <v>-16.666666666666668</v>
      </c>
      <c r="K13" s="17">
        <v>-16.666666666666668</v>
      </c>
      <c r="L13" s="17">
        <v>-16.666666666666668</v>
      </c>
      <c r="M13" s="17">
        <v>-16.666666666666668</v>
      </c>
      <c r="N13" s="17">
        <v>-16.666666666666668</v>
      </c>
      <c r="O13" s="17">
        <v>-16.666666666666668</v>
      </c>
      <c r="P13"/>
    </row>
    <row r="14" spans="1:16" x14ac:dyDescent="0.25">
      <c r="P14"/>
    </row>
    <row r="15" spans="1:16" x14ac:dyDescent="0.25">
      <c r="A15" s="15" t="s">
        <v>14</v>
      </c>
      <c r="P15"/>
    </row>
    <row r="16" spans="1:16" x14ac:dyDescent="0.25">
      <c r="B16" s="16" t="s">
        <v>15</v>
      </c>
      <c r="D16" s="19" t="s">
        <v>9</v>
      </c>
      <c r="E16" s="17">
        <v>-166.66666666666666</v>
      </c>
      <c r="F16" s="18" t="s">
        <v>18</v>
      </c>
      <c r="P16"/>
    </row>
    <row r="17" spans="2:16" x14ac:dyDescent="0.25">
      <c r="B17" s="16" t="s">
        <v>17</v>
      </c>
      <c r="D17" s="19" t="s">
        <v>16</v>
      </c>
      <c r="F17" s="20">
        <v>3.3333333333333335E-3</v>
      </c>
      <c r="G17" s="20">
        <v>3.7499999999999999E-3</v>
      </c>
      <c r="H17" s="20">
        <v>4.1666666666666666E-3</v>
      </c>
      <c r="I17" s="20">
        <v>4.5833333333333334E-3</v>
      </c>
      <c r="J17" s="20">
        <v>5.0000000000000001E-3</v>
      </c>
      <c r="K17" s="20">
        <v>5.4166666666666669E-3</v>
      </c>
      <c r="L17" s="20">
        <v>5.8333333333333336E-3</v>
      </c>
      <c r="M17" s="20">
        <v>6.2499999999999995E-3</v>
      </c>
      <c r="N17" s="20">
        <v>6.6666666666666671E-3</v>
      </c>
      <c r="O17" s="20">
        <v>7.0833333333333338E-3</v>
      </c>
      <c r="P17"/>
    </row>
    <row r="18" spans="2:16" x14ac:dyDescent="0.25">
      <c r="P18"/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Cover</vt:lpstr>
      <vt:lpstr>Inputs</vt:lpstr>
      <vt:lpstr>CoverComp</vt:lpstr>
      <vt:lpstr>CstHousingPrice</vt:lpstr>
      <vt:lpstr>CstHousingRate</vt:lpstr>
      <vt:lpstr>CstLivingDaily</vt:lpstr>
      <vt:lpstr>CstLivingLoose</vt:lpstr>
      <vt:lpstr>ModelYear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2026-10-01T07:27:39Z</dcterms:modified>
</cp:coreProperties>
</file>