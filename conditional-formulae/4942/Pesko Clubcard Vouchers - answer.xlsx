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57\"/>
    </mc:Choice>
  </mc:AlternateContent>
  <xr:revisionPtr revIDLastSave="0" documentId="8_{791176CE-3569-45AC-8A88-A3D39E30761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High_Vouchers" localSheetId="0">'Task 1'!$B$18</definedName>
    <definedName name="High_Vouchers">'Task 2'!$B$18</definedName>
    <definedName name="Low_Vouchers" localSheetId="0">'Task 1'!$B$19</definedName>
    <definedName name="Low_Vouchers">'Task 2'!$B$19</definedName>
    <definedName name="Voucher_Threshold" localSheetId="0">'Task 1'!$B$17</definedName>
    <definedName name="Voucher_Threshold">'Task 2'!$B$17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4" i="1"/>
  <c r="C5" i="2"/>
  <c r="C6" i="2"/>
  <c r="C7" i="2"/>
  <c r="C8" i="2"/>
  <c r="C9" i="2"/>
  <c r="C10" i="2"/>
  <c r="C11" i="2"/>
  <c r="C12" i="2"/>
  <c r="C13" i="2"/>
  <c r="C14" i="2"/>
  <c r="C15" i="2"/>
  <c r="C4" i="2"/>
</calcChain>
</file>

<file path=xl/sharedStrings.xml><?xml version="1.0" encoding="utf-8"?>
<sst xmlns="http://schemas.openxmlformats.org/spreadsheetml/2006/main" count="18" uniqueCount="9">
  <si>
    <t>Pesko Club Card Vouchers</t>
  </si>
  <si>
    <t>Date</t>
  </si>
  <si>
    <t>Amount</t>
  </si>
  <si>
    <t>Voucher Threshold</t>
  </si>
  <si>
    <t>High Vouchers</t>
  </si>
  <si>
    <t>Low Vouchers</t>
  </si>
  <si>
    <t>£10 = 1 voucher whole vouchers only</t>
  </si>
  <si>
    <t>£4 = 1 voucher whole vouchers only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</si>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</sst>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1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right" vertical="center"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2B48-7A7D-457E-9A2F-C9A8CA6B746B}">
  <dimension ref="A1:C19"/>
  <sheetViews>
    <sheetView zoomScaleNormal="100" workbookViewId="0">
      <selection activeCell="C4" sqref="C4:C15"/>
    </sheetView>
  </sheetViews>
  <sheetFormatPr defaultRowHeight="15" x14ac:dyDescent="0.25"/>
  <cols>
    <col min="1" max="1" width="16.5703125" customWidth="1"/>
    <col min="3" max="3" width="22.7109375" customWidth="1"/>
    <col min="4" max="4" width="5.85546875" customWidth="1"/>
    <col min="5" max="5" width="18.85546875" customWidth="1"/>
    <col min="7" max="7" width="11" customWidth="1"/>
  </cols>
  <sheetData>
    <row r="1" spans="1:3" ht="21" x14ac:dyDescent="0.35">
      <c r="A1" s="1" t="s">
        <v>0</v>
      </c>
    </row>
    <row r="3" spans="1:3" ht="30" x14ac:dyDescent="0.25">
      <c r="A3" s="8" t="s">
        <v>1</v>
      </c>
      <c r="B3" s="3" t="s">
        <v>2</v>
      </c>
      <c r="C3" s="4" t="s">
        <v>8</v>
      </c>
    </row>
    <row r="4" spans="1:3" x14ac:dyDescent="0.25">
      <c r="A4" s="9">
        <v>43115</v>
      </c>
      <c r="B4" s="5">
        <v>112.66</v>
      </c>
      <c r="C4" s="2">
        <f>TRUNC(IF(B4&gt;Voucher_Threshold,High_Vouchers,Low_Vouchers)*B4)</f>
        <v>28</v>
      </c>
    </row>
    <row r="5" spans="1:3" x14ac:dyDescent="0.25">
      <c r="A5" s="9">
        <v>43121</v>
      </c>
      <c r="B5" s="5">
        <v>17.54</v>
      </c>
      <c r="C5" s="2">
        <f>TRUNC(IF(B5&gt;Voucher_Threshold,High_Vouchers,Low_Vouchers)*B5)</f>
        <v>1</v>
      </c>
    </row>
    <row r="6" spans="1:3" x14ac:dyDescent="0.25">
      <c r="A6" s="9">
        <v>43163</v>
      </c>
      <c r="B6" s="5">
        <v>96.87</v>
      </c>
      <c r="C6" s="2">
        <f>TRUNC(IF(B6&gt;Voucher_Threshold,High_Vouchers,Low_Vouchers)*B6)</f>
        <v>24</v>
      </c>
    </row>
    <row r="7" spans="1:3" x14ac:dyDescent="0.25">
      <c r="A7" s="9">
        <v>43231</v>
      </c>
      <c r="B7" s="5">
        <v>32.78</v>
      </c>
      <c r="C7" s="2">
        <f>TRUNC(IF(B7&gt;Voucher_Threshold,High_Vouchers,Low_Vouchers)*B7)</f>
        <v>3</v>
      </c>
    </row>
    <row r="8" spans="1:3" x14ac:dyDescent="0.25">
      <c r="A8" s="9">
        <v>43249</v>
      </c>
      <c r="B8" s="5">
        <v>56.38</v>
      </c>
      <c r="C8" s="2">
        <f>TRUNC(IF(B8&gt;Voucher_Threshold,High_Vouchers,Low_Vouchers)*B8)</f>
        <v>5</v>
      </c>
    </row>
    <row r="9" spans="1:3" x14ac:dyDescent="0.25">
      <c r="A9" s="9">
        <v>43271</v>
      </c>
      <c r="B9" s="5">
        <v>62.94</v>
      </c>
      <c r="C9" s="2">
        <f>TRUNC(IF(B9&gt;Voucher_Threshold,High_Vouchers,Low_Vouchers)*B9)</f>
        <v>6</v>
      </c>
    </row>
    <row r="10" spans="1:3" x14ac:dyDescent="0.25">
      <c r="A10" s="9">
        <v>43314</v>
      </c>
      <c r="B10" s="5">
        <v>74.89</v>
      </c>
      <c r="C10" s="2">
        <f>TRUNC(IF(B10&gt;Voucher_Threshold,High_Vouchers,Low_Vouchers)*B10)</f>
        <v>7</v>
      </c>
    </row>
    <row r="11" spans="1:3" x14ac:dyDescent="0.25">
      <c r="A11" s="9">
        <v>43330</v>
      </c>
      <c r="B11" s="5">
        <v>13.45</v>
      </c>
      <c r="C11" s="2">
        <f>TRUNC(IF(B11&gt;Voucher_Threshold,High_Vouchers,Low_Vouchers)*B11)</f>
        <v>1</v>
      </c>
    </row>
    <row r="12" spans="1:3" x14ac:dyDescent="0.25">
      <c r="A12" s="9">
        <v>43350</v>
      </c>
      <c r="B12" s="5">
        <v>73.63</v>
      </c>
      <c r="C12" s="2">
        <f>TRUNC(IF(B12&gt;Voucher_Threshold,High_Vouchers,Low_Vouchers)*B12)</f>
        <v>7</v>
      </c>
    </row>
    <row r="13" spans="1:3" x14ac:dyDescent="0.25">
      <c r="A13" s="9">
        <v>43376</v>
      </c>
      <c r="B13" s="5">
        <v>93.86</v>
      </c>
      <c r="C13" s="2">
        <f>TRUNC(IF(B13&gt;Voucher_Threshold,High_Vouchers,Low_Vouchers)*B13)</f>
        <v>9</v>
      </c>
    </row>
    <row r="14" spans="1:3" x14ac:dyDescent="0.25">
      <c r="A14" s="9">
        <v>43402</v>
      </c>
      <c r="B14" s="5">
        <v>52.11</v>
      </c>
      <c r="C14" s="2">
        <f>TRUNC(IF(B14&gt;Voucher_Threshold,High_Vouchers,Low_Vouchers)*B14)</f>
        <v>5</v>
      </c>
    </row>
    <row r="15" spans="1:3" x14ac:dyDescent="0.25">
      <c r="A15" s="9">
        <v>43442</v>
      </c>
      <c r="B15" s="5">
        <v>143.66999999999999</v>
      </c>
      <c r="C15" s="2">
        <f>TRUNC(IF(B15&gt;Voucher_Threshold,High_Vouchers,Low_Vouchers)*B15)</f>
        <v>35</v>
      </c>
    </row>
    <row r="17" spans="1:3" ht="16.350000000000001" customHeight="1" x14ac:dyDescent="0.25">
      <c r="A17" t="s">
        <v>3</v>
      </c>
      <c r="B17" s="7">
        <v>95</v>
      </c>
    </row>
    <row r="18" spans="1:3" ht="16.350000000000001" customHeight="1" x14ac:dyDescent="0.25">
      <c r="A18" t="s">
        <v>4</v>
      </c>
      <c r="B18" s="6">
        <v>0.25</v>
      </c>
      <c r="C18" s="10" t="s">
        <v>7</v>
      </c>
    </row>
    <row r="19" spans="1:3" ht="16.350000000000001" customHeight="1" x14ac:dyDescent="0.25">
      <c r="A19" t="s">
        <v>5</v>
      </c>
      <c r="B19" s="6">
        <v>0.1</v>
      </c>
      <c r="C19" s="10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Normal="100" workbookViewId="0">
      <selection activeCell="E4" sqref="E4"/>
    </sheetView>
  </sheetViews>
  <sheetFormatPr defaultRowHeight="15" x14ac:dyDescent="0.25"/>
  <cols>
    <col min="1" max="1" width="16.5703125" customWidth="1"/>
    <col min="3" max="3" width="22.7109375" customWidth="1"/>
    <col min="4" max="4" width="5.85546875" customWidth="1"/>
    <col min="5" max="5" width="18.85546875" customWidth="1"/>
    <col min="7" max="7" width="11" customWidth="1"/>
  </cols>
  <sheetData>
    <row r="1" spans="1:3" ht="21" x14ac:dyDescent="0.35">
      <c r="A1" s="1" t="s">
        <v>0</v>
      </c>
    </row>
    <row r="3" spans="1:3" ht="30" x14ac:dyDescent="0.25">
      <c r="A3" s="8" t="s">
        <v>1</v>
      </c>
      <c r="B3" s="3" t="s">
        <v>2</v>
      </c>
      <c r="C3" s="4" t="s">
        <v>8</v>
      </c>
    </row>
    <row r="4" spans="1:3" x14ac:dyDescent="0.25">
      <c r="A4" s="9">
        <v>43115</v>
      </c>
      <c r="B4" s="5">
        <v>112.66</v>
      </c>
      <c r="C4" s="11">
        <f>TRUNC(IF(B4&gt;Voucher_Threshold,High_Vouchers,Low_Vouchers)*B4)</f>
        <v>22</v>
      </c>
    </row>
    <row r="5" spans="1:3" x14ac:dyDescent="0.25">
      <c r="A5" s="9">
        <v>43121</v>
      </c>
      <c r="B5" s="5">
        <v>17.54</v>
      </c>
      <c r="C5" s="11">
        <f>TRUNC(IF(B5&gt;Voucher_Threshold,High_Vouchers,Low_Vouchers)*B5)</f>
        <v>0</v>
      </c>
    </row>
    <row r="6" spans="1:3" x14ac:dyDescent="0.25">
      <c r="A6" s="9">
        <v>43163</v>
      </c>
      <c r="B6" s="5">
        <v>96.87</v>
      </c>
      <c r="C6" s="11">
        <f>TRUNC(IF(B6&gt;Voucher_Threshold,High_Vouchers,Low_Vouchers)*B6)</f>
        <v>19</v>
      </c>
    </row>
    <row r="7" spans="1:3" x14ac:dyDescent="0.25">
      <c r="A7" s="9">
        <v>43231</v>
      </c>
      <c r="B7" s="5">
        <v>32.78</v>
      </c>
      <c r="C7" s="11">
        <f>TRUNC(IF(B7&gt;Voucher_Threshold,High_Vouchers,Low_Vouchers)*B7)</f>
        <v>0</v>
      </c>
    </row>
    <row r="8" spans="1:3" x14ac:dyDescent="0.25">
      <c r="A8" s="9">
        <v>43249</v>
      </c>
      <c r="B8" s="5">
        <v>56.38</v>
      </c>
      <c r="C8" s="11">
        <f>TRUNC(IF(B8&gt;Voucher_Threshold,High_Vouchers,Low_Vouchers)*B8)</f>
        <v>0</v>
      </c>
    </row>
    <row r="9" spans="1:3" x14ac:dyDescent="0.25">
      <c r="A9" s="9">
        <v>43271</v>
      </c>
      <c r="B9" s="5">
        <v>62.94</v>
      </c>
      <c r="C9" s="11">
        <f>TRUNC(IF(B9&gt;Voucher_Threshold,High_Vouchers,Low_Vouchers)*B9)</f>
        <v>0</v>
      </c>
    </row>
    <row r="10" spans="1:3" x14ac:dyDescent="0.25">
      <c r="A10" s="9">
        <v>43314</v>
      </c>
      <c r="B10" s="5">
        <v>74.89</v>
      </c>
      <c r="C10" s="11">
        <f>TRUNC(IF(B10&gt;Voucher_Threshold,High_Vouchers,Low_Vouchers)*B10)</f>
        <v>14</v>
      </c>
    </row>
    <row r="11" spans="1:3" x14ac:dyDescent="0.25">
      <c r="A11" s="9">
        <v>43330</v>
      </c>
      <c r="B11" s="5">
        <v>13.45</v>
      </c>
      <c r="C11" s="11">
        <f>TRUNC(IF(B11&gt;Voucher_Threshold,High_Vouchers,Low_Vouchers)*B11)</f>
        <v>0</v>
      </c>
    </row>
    <row r="12" spans="1:3" x14ac:dyDescent="0.25">
      <c r="A12" s="9">
        <v>43350</v>
      </c>
      <c r="B12" s="5">
        <v>73.63</v>
      </c>
      <c r="C12" s="11">
        <f>TRUNC(IF(B12&gt;Voucher_Threshold,High_Vouchers,Low_Vouchers)*B12)</f>
        <v>14</v>
      </c>
    </row>
    <row r="13" spans="1:3" x14ac:dyDescent="0.25">
      <c r="A13" s="9">
        <v>43376</v>
      </c>
      <c r="B13" s="5">
        <v>93.86</v>
      </c>
      <c r="C13" s="11">
        <f>TRUNC(IF(B13&gt;Voucher_Threshold,High_Vouchers,Low_Vouchers)*B13)</f>
        <v>18</v>
      </c>
    </row>
    <row r="14" spans="1:3" x14ac:dyDescent="0.25">
      <c r="A14" s="9">
        <v>43402</v>
      </c>
      <c r="B14" s="5">
        <v>52.11</v>
      </c>
      <c r="C14" s="11">
        <f>TRUNC(IF(B14&gt;Voucher_Threshold,High_Vouchers,Low_Vouchers)*B14)</f>
        <v>0</v>
      </c>
    </row>
    <row r="15" spans="1:3" x14ac:dyDescent="0.25">
      <c r="A15" s="9">
        <v>43442</v>
      </c>
      <c r="B15" s="5">
        <v>143.66999999999999</v>
      </c>
      <c r="C15" s="11">
        <f>TRUNC(IF(B15&gt;Voucher_Threshold,High_Vouchers,Low_Vouchers)*B15)</f>
        <v>28</v>
      </c>
    </row>
    <row r="17" spans="1:3" ht="16.350000000000001" customHeight="1" x14ac:dyDescent="0.25">
      <c r="A17" t="s">
        <v>3</v>
      </c>
      <c r="B17" s="7">
        <v>70</v>
      </c>
    </row>
    <row r="18" spans="1:3" ht="16.350000000000001" customHeight="1" x14ac:dyDescent="0.25">
      <c r="A18" t="s">
        <v>4</v>
      </c>
      <c r="B18" s="6">
        <v>0.2</v>
      </c>
      <c r="C18" s="10" t="s">
        <v>7</v>
      </c>
    </row>
    <row r="19" spans="1:3" ht="16.350000000000001" customHeight="1" x14ac:dyDescent="0.25">
      <c r="A19" t="s">
        <v>5</v>
      </c>
      <c r="B19" s="6">
        <v>0</v>
      </c>
      <c r="C19" s="10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1'!High_Vouchers</vt:lpstr>
      <vt:lpstr>High_Vouchers</vt:lpstr>
      <vt:lpstr>'Task 1'!Low_Vouchers</vt:lpstr>
      <vt:lpstr>Low_Vouchers</vt:lpstr>
      <vt:lpstr>'Task 1'!Voucher_Threshold</vt:lpstr>
      <vt:lpstr>Voucher_Threshold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2018-02-08T14:44:19Z</dcterms:created>
  <dcterms:modified xsi:type="dcterms:W3CDTF">2026-09-28T01:38:45Z</dcterms:modified>
</cp:coreProperties>
</file>