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af-3746\"/>
    </mc:Choice>
  </mc:AlternateContent>
  <xr:revisionPtr revIDLastSave="0" documentId="8_{2D464CD1-0E9D-4B09-968F-60AA74589C0D}" xr6:coauthVersionLast="47" xr6:coauthVersionMax="47" xr10:uidLastSave="{00000000-0000-0000-0000-000000000000}"/>
  <bookViews>
    <workbookView xWindow="-120" yWindow="-120" windowWidth="20730" windowHeight="11760" firstSheet="1" activeTab="1" xr2:uid="{0297CB31-C232-4C32-B067-C1A4A392146A}"/>
  </bookViews>
  <sheets>
    <sheet name="Task 1" sheetId="2" r:id="rId1"/>
    <sheet name="Task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D14" i="1"/>
  <c r="D18" i="2"/>
  <c r="C18" i="2"/>
  <c r="B18" i="2"/>
  <c r="D15" i="2"/>
  <c r="C15" i="2"/>
  <c r="B15" i="2"/>
  <c r="C12" i="2"/>
  <c r="B12" i="2"/>
  <c r="C11" i="2"/>
  <c r="B11" i="2"/>
  <c r="C17" i="1"/>
  <c r="B17" i="1"/>
  <c r="C14" i="1"/>
  <c r="B14" i="1"/>
  <c r="B11" i="1"/>
  <c r="C11" i="1"/>
</calcChain>
</file>

<file path=xl/sharedStrings.xml><?xml version="1.0" encoding="utf-8"?>
<sst xmlns="http://schemas.openxmlformats.org/spreadsheetml/2006/main" count="37" uniqueCount="25">
  <si>
    <t>Jan Week 1 Sales Figs for Midlands Team</t>
  </si>
  <si>
    <t>Name</t>
  </si>
  <si>
    <t>No. Sales</t>
  </si>
  <si>
    <t>Juliette</t>
  </si>
  <si>
    <t>Rory</t>
  </si>
  <si>
    <t>Sam</t>
  </si>
  <si>
    <t>COUNT</t>
  </si>
  <si>
    <t>COUNTA</t>
  </si>
  <si>
    <t>IF name is Sam</t>
  </si>
  <si>
    <t>IF sales &gt; 60</t>
  </si>
  <si>
    <t>COUNTIF</t>
  </si>
  <si>
    <t>IF sales &lt;40</t>
  </si>
  <si>
    <t>If name &gt;K and sales &gt;30</t>
  </si>
  <si>
    <t>If name is Sam and sales &gt; 50</t>
  </si>
  <si>
    <t>If name is Julieete and sales &gt; 50</t>
  </si>
  <si>
    <t>COUNTIFS</t>
  </si>
  <si>
    <t>SUM</t>
  </si>
  <si>
    <t>SUMIF</t>
  </si>
  <si>
    <t>IF name is Juliette</t>
  </si>
  <si>
    <t>IF sales &gt; 80</t>
  </si>
  <si>
    <t>IF name &lt;M and sales &lt;45</t>
  </si>
  <si>
    <t>if name is Rory and sales &lt;50</t>
  </si>
  <si>
    <t>SUMIFS</t>
  </si>
  <si>
    <t xml:space="preserve"> IF sales &lt;40</t>
  </si>
  <si>
    <t>if name is Sam and sales &gt;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</si>
</sst>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Fill="1" applyBorder="1"/>
    <xf numFmtId="0" fontId="0" fillId="0" borderId="1" xfId="0" applyFill="1" applyBorder="1"/>
    <xf numFmtId="0" fontId="1" fillId="3" borderId="3" xfId="0" applyFont="1" applyFill="1" applyBorder="1"/>
    <xf numFmtId="0" fontId="1" fillId="4" borderId="0" xfId="0" applyFont="1" applyFill="1"/>
    <xf numFmtId="0" fontId="1" fillId="4" borderId="3" xfId="0" applyFont="1" applyFill="1" applyBorder="1"/>
    <xf numFmtId="0" fontId="1" fillId="3" borderId="4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3">
    <dxf>
      <font>
        <b/>
        <i val="0"/>
        <color theme="0"/>
      </font>
      <fill>
        <patternFill patternType="solid">
          <bgColor theme="1" tint="0.499984740745262"/>
        </patternFill>
      </fill>
    </dxf>
    <dxf>
      <font>
        <b/>
        <i val="0"/>
        <color theme="0"/>
      </font>
      <fill>
        <patternFill patternType="solid">
          <bgColor theme="1" tint="0.499984740745262"/>
        </patternFill>
      </fill>
    </dxf>
    <dxf>
      <font>
        <b/>
        <i val="0"/>
        <color theme="0"/>
      </font>
      <fill>
        <patternFill patternType="solid"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94AE-9EC8-4CC3-B8E6-A210C8C63952}">
  <dimension ref="A1:D18"/>
  <sheetViews>
    <sheetView topLeftCell="A4" workbookViewId="0">
      <selection activeCell="B18" activeCellId="3" sqref="C11:C12 B12 B15:D15 B18:D18"/>
    </sheetView>
  </sheetViews>
  <sheetFormatPr defaultRowHeight="15" x14ac:dyDescent="0.25"/>
  <cols>
    <col min="2" max="2" width="22.7109375" bestFit="1" customWidth="1"/>
    <col min="3" max="3" width="11.28515625" bestFit="1" customWidth="1"/>
    <col min="4" max="4" width="10.85546875" bestFit="1" customWidth="1"/>
  </cols>
  <sheetData>
    <row r="1" spans="1:4" x14ac:dyDescent="0.25">
      <c r="A1" t="s">
        <v>0</v>
      </c>
    </row>
    <row r="3" spans="1:4" x14ac:dyDescent="0.25">
      <c r="B3" s="2" t="s">
        <v>1</v>
      </c>
      <c r="C3" s="2" t="s">
        <v>2</v>
      </c>
    </row>
    <row r="4" spans="1:4" x14ac:dyDescent="0.25">
      <c r="B4" s="1" t="s">
        <v>3</v>
      </c>
      <c r="C4" s="1">
        <v>54</v>
      </c>
    </row>
    <row r="5" spans="1:4" x14ac:dyDescent="0.25">
      <c r="B5" s="1" t="s">
        <v>4</v>
      </c>
      <c r="C5" s="1">
        <v>27</v>
      </c>
    </row>
    <row r="6" spans="1:4" x14ac:dyDescent="0.25">
      <c r="B6" s="1" t="s">
        <v>5</v>
      </c>
      <c r="C6" s="1">
        <v>39</v>
      </c>
    </row>
    <row r="7" spans="1:4" x14ac:dyDescent="0.25">
      <c r="B7" s="1" t="s">
        <v>3</v>
      </c>
      <c r="C7" s="1">
        <v>88</v>
      </c>
    </row>
    <row r="8" spans="1:4" x14ac:dyDescent="0.25">
      <c r="B8" s="1" t="s">
        <v>3</v>
      </c>
      <c r="C8" s="1">
        <v>39</v>
      </c>
    </row>
    <row r="9" spans="1:4" x14ac:dyDescent="0.25">
      <c r="B9" s="1" t="s">
        <v>5</v>
      </c>
      <c r="C9" s="1">
        <v>96</v>
      </c>
    </row>
    <row r="10" spans="1:4" x14ac:dyDescent="0.25">
      <c r="B10" s="6"/>
      <c r="C10" s="6"/>
    </row>
    <row r="11" spans="1:4" x14ac:dyDescent="0.25">
      <c r="A11" t="s">
        <v>6</v>
      </c>
      <c r="B11" s="4" t="str">
        <f>IF(COUNT(B4:B9)=0,"Not Applicable",COUNT(B4:B9))</f>
        <v>Not Applicable</v>
      </c>
      <c r="C11" s="10">
        <f>IF(COUNT(C4:C9)=0,"Not Applicable",COUNT(C4:C9))</f>
        <v>6</v>
      </c>
    </row>
    <row r="12" spans="1:4" x14ac:dyDescent="0.25">
      <c r="A12" t="s">
        <v>7</v>
      </c>
      <c r="B12" s="11">
        <f>IF(COUNTA(B4:B9)=0,"Not Applicable",COUNTA(B4:B9))</f>
        <v>6</v>
      </c>
      <c r="C12" s="11">
        <f>IF(COUNTA(C4:C9)=0,"Not Applicable",COUNTA(C4:C9))</f>
        <v>6</v>
      </c>
    </row>
    <row r="14" spans="1:4" x14ac:dyDescent="0.25">
      <c r="B14" t="s">
        <v>8</v>
      </c>
      <c r="C14" t="s">
        <v>9</v>
      </c>
      <c r="D14" t="s">
        <v>11</v>
      </c>
    </row>
    <row r="15" spans="1:4" x14ac:dyDescent="0.25">
      <c r="A15" t="s">
        <v>10</v>
      </c>
      <c r="B15" s="11">
        <f>COUNTIF(B4:B9,"Sam")</f>
        <v>2</v>
      </c>
      <c r="C15" s="11">
        <f>COUNTIF(C4:C9,"&gt;60")</f>
        <v>2</v>
      </c>
      <c r="D15" s="12">
        <f>COUNTIF(C4:C9,"&lt;40")</f>
        <v>3</v>
      </c>
    </row>
    <row r="17" spans="1:4" x14ac:dyDescent="0.25">
      <c r="B17" t="s">
        <v>12</v>
      </c>
      <c r="C17" t="s">
        <v>13</v>
      </c>
      <c r="D17" t="s">
        <v>14</v>
      </c>
    </row>
    <row r="18" spans="1:4" x14ac:dyDescent="0.25">
      <c r="A18" t="s">
        <v>15</v>
      </c>
      <c r="B18" s="11">
        <f>COUNTIFS(B4:B9,"&gt;K",C4:C9,"&gt;30")</f>
        <v>2</v>
      </c>
      <c r="C18" s="11">
        <f>COUNTIFS(B4:B9,"Sam",C4:C9,"&gt;50")</f>
        <v>1</v>
      </c>
      <c r="D18" s="13">
        <f>COUNTIFS(B4:B9,"Juliette",C4:C9,"&gt;50")</f>
        <v>2</v>
      </c>
    </row>
  </sheetData>
  <conditionalFormatting sqref="B10:B11">
    <cfRule type="containsText" dxfId="2" priority="1" operator="containsText" text="Not Applicable">
      <formula>NOT(ISERROR(SEARCH("Not Applicable",B10)))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4294-EF43-4D7F-A785-1B676BB78B2A}">
  <dimension ref="A1:D17"/>
  <sheetViews>
    <sheetView tabSelected="1" topLeftCell="B2" workbookViewId="0">
      <selection activeCell="D17" sqref="D17"/>
    </sheetView>
  </sheetViews>
  <sheetFormatPr defaultRowHeight="15" x14ac:dyDescent="0.25"/>
  <cols>
    <col min="2" max="2" width="23.5703125" bestFit="1" customWidth="1"/>
    <col min="3" max="3" width="26.5703125" bestFit="1" customWidth="1"/>
    <col min="4" max="4" width="26.7109375" bestFit="1" customWidth="1"/>
  </cols>
  <sheetData>
    <row r="1" spans="1:4" x14ac:dyDescent="0.25">
      <c r="A1" t="s">
        <v>0</v>
      </c>
    </row>
    <row r="3" spans="1:4" x14ac:dyDescent="0.25">
      <c r="B3" s="2" t="s">
        <v>1</v>
      </c>
      <c r="C3" s="2" t="s">
        <v>2</v>
      </c>
    </row>
    <row r="4" spans="1:4" x14ac:dyDescent="0.25">
      <c r="B4" s="1" t="s">
        <v>3</v>
      </c>
      <c r="C4" s="1">
        <v>54</v>
      </c>
    </row>
    <row r="5" spans="1:4" x14ac:dyDescent="0.25">
      <c r="B5" s="1" t="s">
        <v>4</v>
      </c>
      <c r="C5" s="1">
        <v>27</v>
      </c>
    </row>
    <row r="6" spans="1:4" x14ac:dyDescent="0.25">
      <c r="B6" s="1" t="s">
        <v>5</v>
      </c>
      <c r="C6" s="1">
        <v>39</v>
      </c>
    </row>
    <row r="7" spans="1:4" x14ac:dyDescent="0.25">
      <c r="B7" s="1" t="s">
        <v>3</v>
      </c>
      <c r="C7" s="1">
        <v>88</v>
      </c>
    </row>
    <row r="8" spans="1:4" x14ac:dyDescent="0.25">
      <c r="B8" s="1" t="s">
        <v>3</v>
      </c>
      <c r="C8" s="1">
        <v>39</v>
      </c>
    </row>
    <row r="9" spans="1:4" x14ac:dyDescent="0.25">
      <c r="B9" s="1" t="s">
        <v>5</v>
      </c>
      <c r="C9" s="1">
        <v>96</v>
      </c>
    </row>
    <row r="11" spans="1:4" x14ac:dyDescent="0.25">
      <c r="A11" t="s">
        <v>16</v>
      </c>
      <c r="B11" s="3" t="str">
        <f>IF(SUM(B4:B9)=0,"Not Applicable",SUM(B4:B9))</f>
        <v>Not Applicable</v>
      </c>
      <c r="C11" s="7">
        <f>IF(SUM(C4:C9)=0,"Not Applicable",SUM(C4:C9))</f>
        <v>343</v>
      </c>
    </row>
    <row r="12" spans="1:4" x14ac:dyDescent="0.25">
      <c r="B12" s="5"/>
      <c r="C12" s="5"/>
    </row>
    <row r="13" spans="1:4" x14ac:dyDescent="0.25">
      <c r="B13" s="5" t="s">
        <v>18</v>
      </c>
      <c r="C13" s="5" t="s">
        <v>19</v>
      </c>
      <c r="D13" t="s">
        <v>23</v>
      </c>
    </row>
    <row r="14" spans="1:4" x14ac:dyDescent="0.25">
      <c r="A14" t="s">
        <v>17</v>
      </c>
      <c r="B14" s="3" t="str">
        <f>IF(SUMIF(B4:B9,"Juliette")=0,"Not Applicable",SUMIF(C4:C9,"&gt;80"))</f>
        <v>Not Applicable</v>
      </c>
      <c r="C14" s="7">
        <f>SUMIF(C4:C9,"&gt;80")</f>
        <v>184</v>
      </c>
      <c r="D14" s="9">
        <f>SUMIF(C5:C9,"&lt;40")</f>
        <v>105</v>
      </c>
    </row>
    <row r="15" spans="1:4" x14ac:dyDescent="0.25">
      <c r="B15" s="5"/>
      <c r="C15" s="5"/>
    </row>
    <row r="16" spans="1:4" x14ac:dyDescent="0.25">
      <c r="B16" s="5" t="s">
        <v>20</v>
      </c>
      <c r="C16" s="5" t="s">
        <v>21</v>
      </c>
      <c r="D16" t="s">
        <v>24</v>
      </c>
    </row>
    <row r="17" spans="1:4" x14ac:dyDescent="0.25">
      <c r="A17" t="s">
        <v>22</v>
      </c>
      <c r="B17" s="7">
        <f>SUMIFS(C4:C9,B4:B9,"&lt;M",C4:C9,"&lt;45")</f>
        <v>39</v>
      </c>
      <c r="C17" s="7">
        <f>SUMIFS(C4:C9,B4:B9,"Rory",C4:C9,"&lt;50")</f>
        <v>27</v>
      </c>
      <c r="D17" s="8">
        <f>SUMIFS(C4:C9,B4:B9,"Sam",C4:C9,"&gt;70")</f>
        <v>96</v>
      </c>
    </row>
  </sheetData>
  <conditionalFormatting sqref="B11:B17">
    <cfRule type="containsText" dxfId="1" priority="2" operator="containsText" text="Not Applicable">
      <formula>NOT(ISERROR(SEARCH("Not Applicable",B11)))</formula>
    </cfRule>
  </conditionalFormatting>
  <conditionalFormatting sqref="D14">
    <cfRule type="containsText" dxfId="0" priority="1" operator="containsText" text="Not Applicable">
      <formula>NOT(ISERROR(SEARCH("Not Applicable",D14)))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2026-09-28T03:14:40Z</dcterms:created>
  <dcterms:modified xsi:type="dcterms:W3CDTF">2026-09-28T03:45:45Z</dcterms:modified>
</cp:coreProperties>
</file>