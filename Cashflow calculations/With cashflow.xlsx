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38\"/>
    </mc:Choice>
  </mc:AlternateContent>
  <xr:revisionPtr revIDLastSave="0" documentId="8_{2631EDD5-14BB-4D96-B4B3-57FABBCA15F2}" xr6:coauthVersionLast="47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ashBroughtForward">Calculations!$F$12:$O$12</definedName>
    <definedName name="cashCarriedForward">Calculations!$F$16:$O$16</definedName>
    <definedName name="CashInDuringMonth">Calculations!$F$15:$O$15</definedName>
    <definedName name="CashInterestPaid">Calculations!$F$14:$O$14</definedName>
    <definedName name="CashInterestReceived">Calculations!$F$13:$O$13</definedName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gativeCashBalance">Calculations!$F$23:$O$23</definedName>
    <definedName name="NegativeInterestPaid">Calculations!$F$24:$O$24</definedName>
    <definedName name="NegativeInterestRate">Inputs!$E$19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PossitiveCashBalance">Calculations!$F$19:$O$19</definedName>
    <definedName name="PossitiveInterestReceived">Calculations!$F$20:$O$20</definedName>
    <definedName name="PostiveInterestRate">Inputs!$E$18</definedName>
    <definedName name="RevDownloads">Inputs!$F$7:$O$7</definedName>
    <definedName name="RevTouring">Inputs!$F$6:$O$6</definedName>
    <definedName name="StartBalance">Inputs!$E$22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5" l="1"/>
  <c r="G23" i="5"/>
  <c r="G16" i="5"/>
  <c r="G14" i="5"/>
  <c r="G13" i="5"/>
  <c r="F24" i="5"/>
  <c r="F20" i="5"/>
  <c r="F19" i="5"/>
  <c r="F23" i="5"/>
  <c r="F12" i="5"/>
  <c r="F15" i="5" a="1"/>
  <c r="E16" i="5"/>
  <c r="F8" i="5" a="1"/>
  <c r="F7" i="5" a="1"/>
  <c r="F6" i="5" a="1"/>
  <c r="D13" i="4"/>
  <c r="I9" i="5"/>
  <c r="M9" i="5"/>
  <c r="N9" i="5" l="1"/>
  <c r="J9" i="5"/>
  <c r="H9" i="5"/>
  <c r="F9" i="5"/>
  <c r="O9" i="5"/>
  <c r="K9" i="5"/>
  <c r="G9" i="5"/>
  <c r="L9" i="5"/>
  <c r="F3" i="2"/>
  <c r="G3" i="2" s="1"/>
  <c r="H3" i="2" s="1"/>
  <c r="I3" i="2" s="1"/>
  <c r="J3" i="2" s="1"/>
  <c r="K3" i="2" s="1"/>
  <c r="L3" i="2" s="1"/>
  <c r="M3" i="2" s="1"/>
  <c r="N3" i="2" s="1"/>
  <c r="O3" i="2" s="1"/>
  <c r="F3" i="5" l="1"/>
  <c r="G3" i="5" s="1"/>
  <c r="H3" i="5" s="1"/>
  <c r="I3" i="5" s="1"/>
  <c r="J3" i="5" s="1"/>
  <c r="K3" i="5" s="1"/>
  <c r="L3" i="5" s="1"/>
  <c r="M3" i="5" s="1"/>
  <c r="N3" i="5" s="1"/>
  <c r="O3" i="5" s="1"/>
  <c r="H12" i="5" l="1"/>
  <c r="H23" i="5" s="1"/>
  <c r="H24" i="5" s="1"/>
  <c r="H14" i="5" s="1"/>
  <c r="H19" i="5" l="1"/>
  <c r="H20" i="5" s="1"/>
  <c r="H13" i="5" s="1"/>
  <c r="H16" i="5" s="1"/>
  <c r="I12" i="5" s="1"/>
  <c r="I23" i="5" s="1"/>
  <c r="I24" i="5" s="1"/>
  <c r="I14" i="5" s="1"/>
  <c r="I19" i="5" l="1"/>
  <c r="I20" i="5" s="1"/>
  <c r="I13" i="5" s="1"/>
  <c r="I16" i="5" s="1"/>
  <c r="J12" i="5" s="1"/>
  <c r="J23" i="5" s="1"/>
  <c r="J24" i="5" s="1"/>
  <c r="J14" i="5" s="1"/>
  <c r="J19" i="5" l="1"/>
  <c r="J20" i="5" s="1"/>
  <c r="J13" i="5" s="1"/>
  <c r="J16" i="5" s="1"/>
  <c r="K12" i="5" s="1"/>
  <c r="K23" i="5" s="1"/>
  <c r="K24" i="5" s="1"/>
  <c r="K14" i="5" s="1"/>
  <c r="K19" i="5" l="1"/>
  <c r="K20" i="5" s="1"/>
  <c r="K13" i="5" s="1"/>
  <c r="K16" i="5" s="1"/>
  <c r="L12" i="5" s="1"/>
  <c r="L23" i="5" s="1"/>
  <c r="L24" i="5" s="1"/>
  <c r="L14" i="5" s="1"/>
  <c r="L19" i="5" l="1"/>
  <c r="L20" i="5" s="1"/>
  <c r="L13" i="5" s="1"/>
  <c r="L16" i="5" s="1"/>
  <c r="M12" i="5" s="1"/>
  <c r="M23" i="5" s="1"/>
  <c r="M24" i="5" s="1"/>
  <c r="M14" i="5" s="1"/>
  <c r="M19" i="5" l="1"/>
  <c r="M20" i="5" s="1"/>
  <c r="M13" i="5" s="1"/>
  <c r="M16" i="5" s="1"/>
  <c r="N12" i="5" s="1"/>
  <c r="N23" i="5" s="1"/>
  <c r="N24" i="5" s="1"/>
  <c r="N14" i="5" s="1"/>
  <c r="N19" i="5" l="1"/>
  <c r="N20" i="5" s="1"/>
  <c r="N13" i="5" s="1"/>
  <c r="N16" i="5" s="1"/>
  <c r="O12" i="5" s="1"/>
  <c r="O23" i="5" s="1"/>
  <c r="O24" i="5" s="1"/>
  <c r="O14" i="5" s="1"/>
  <c r="O16" i="5" l="1"/>
  <c r="O19" i="5"/>
  <c r="O20" i="5" s="1"/>
  <c r="O13" i="5" s="1"/>
  <c r="F14" i="5" l="1"/>
  <c r="F13" i="5" l="1"/>
  <c r="F16" i="5" s="1"/>
  <c r="G12" i="5" s="1"/>
  <c r="G19" i="5" s="1"/>
  <c r="G20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<sst xmlns="http://schemas.openxmlformats.org/spreadsheetml/2006/main" count="89" uniqueCount="60">
  <si>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</si>
  <si>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</si>
  <si>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</si>
  <si>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</si>
  <si>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</si>
  <si>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</si>
  <si>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</si>
  <si>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</si>
  <si>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</si>
  <si>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</si>
  <si>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</si>
  <si>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</si>
  <si>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</si>
  <si>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</si>
  <si>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</si>
  <si>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</si>
  <si>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</si>
  <si>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</si>
  <si>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</si>
  <si>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</si>
  <si>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</si>
  <si>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</si>
  <si>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</si>
  <si>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</si>
  <si>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</si>
  <si>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</si>
  <si>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</si>
  <si>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</si>
  <si>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</si>
  <si>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</si>
  <si>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</si>
  <si>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</si>
  <si>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</si>
  <si>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</si>
  <si>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</si>
  <si>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Interest rates</t>
  </si>
  <si>
    <t>Deposit rate</t>
  </si>
  <si>
    <t>Loan rate</t>
  </si>
  <si>
    <t>Cashflow</t>
  </si>
  <si>
    <t>Starting balance</t>
  </si>
  <si>
    <t>Money in during month</t>
  </si>
  <si>
    <t>Interest received</t>
  </si>
  <si>
    <t>Interest paid</t>
  </si>
  <si>
    <t>Closing balance</t>
  </si>
  <si>
    <t>Cash</t>
  </si>
  <si>
    <t>StartBalance</t>
  </si>
  <si>
    <t>Amount on which to receive interest</t>
  </si>
  <si>
    <t>Amount on which to pay interest</t>
  </si>
  <si>
    <t>PostiveInterestRate</t>
  </si>
  <si>
    <t>NegativeInterestRate</t>
  </si>
  <si>
    <t>Choose your game show!</t>
  </si>
  <si>
    <t>CashBroughtForward</t>
  </si>
  <si>
    <t>CashInterestReceived</t>
  </si>
  <si>
    <t>CashInterestPaid</t>
  </si>
  <si>
    <t>CashInDuringMonth</t>
  </si>
  <si>
    <t>cashCarriedForward</t>
  </si>
  <si>
    <t>PossitiveCashBalance</t>
  </si>
  <si>
    <t>PossitiveInterestReceived</t>
  </si>
  <si>
    <t>NegativeCashBalance</t>
  </si>
  <si>
    <t>NegativeInterestPaid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</si>
</sst>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_);\(#,##0\)"/>
    <numFmt numFmtId="168" formatCode="#,##0.00;[Red]\(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4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5" fillId="6" borderId="0" xfId="3" applyFill="1"/>
    <xf numFmtId="0" fontId="2" fillId="6" borderId="0" xfId="4" applyFill="1"/>
    <xf numFmtId="0" fontId="0" fillId="6" borderId="0" xfId="0" applyFill="1"/>
    <xf numFmtId="0" fontId="2" fillId="6" borderId="0" xfId="7" applyFill="1">
      <alignment horizontal="center"/>
    </xf>
    <xf numFmtId="0" fontId="5" fillId="0" borderId="0" xfId="0" applyFon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8" fontId="0" fillId="7" borderId="0" xfId="0" applyNumberFormat="1" applyFill="1"/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50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22"/>
  <sheetViews>
    <sheetView workbookViewId="0">
      <pane xSplit="4" ySplit="3" topLeftCell="E10" activePane="bottomRight" state="frozen"/>
      <selection pane="topRight" activeCell="E1" sqref="E1"/>
      <selection pane="bottomLeft" activeCell="A4" sqref="A4"/>
      <selection pane="bottomRight" activeCell="E22" sqref="E22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6" max="6" width="9.140625" customWidth="1"/>
    <col min="16" max="16" width="14" style="19" bestFit="1" customWidth="1"/>
  </cols>
  <sheetData>
    <row r="2" spans="1:16" x14ac:dyDescent="0.2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400</v>
      </c>
      <c r="G6" s="18">
        <v>380</v>
      </c>
      <c r="H6" s="18">
        <v>361</v>
      </c>
      <c r="I6" s="18">
        <v>342.95</v>
      </c>
      <c r="J6" s="18">
        <v>325.80249999999995</v>
      </c>
      <c r="K6" s="18">
        <v>309.51237499999996</v>
      </c>
      <c r="L6" s="18">
        <v>294.03675624999994</v>
      </c>
      <c r="M6" s="18">
        <v>279.33491843749994</v>
      </c>
      <c r="N6" s="18">
        <v>265.36817251562491</v>
      </c>
      <c r="O6" s="18">
        <v>252.09976388984364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300</v>
      </c>
      <c r="G7" s="18">
        <v>270</v>
      </c>
      <c r="H7" s="18">
        <v>243</v>
      </c>
      <c r="I7" s="18">
        <v>218.70000000000002</v>
      </c>
      <c r="J7" s="18">
        <v>196.83</v>
      </c>
      <c r="K7" s="18">
        <v>177.14700000000002</v>
      </c>
      <c r="L7" s="18">
        <v>159.43230000000003</v>
      </c>
      <c r="M7" s="18">
        <v>143.48907000000003</v>
      </c>
      <c r="N7" s="18">
        <v>129.14016300000003</v>
      </c>
      <c r="O7" s="18">
        <v>116.22614670000003</v>
      </c>
      <c r="P7" s="19" t="s">
        <v>15</v>
      </c>
    </row>
    <row r="9" spans="1:16" x14ac:dyDescent="0.25">
      <c r="A9" s="16" t="s">
        <v>18</v>
      </c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2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  <row r="17" spans="1:6" x14ac:dyDescent="0.25">
      <c r="A17" s="25" t="s">
        <v>35</v>
      </c>
      <c r="B17" s="26"/>
      <c r="C17" s="27"/>
      <c r="D17" s="28"/>
    </row>
    <row r="18" spans="1:6" x14ac:dyDescent="0.25">
      <c r="A18" s="27"/>
      <c r="B18" s="26" t="s">
        <v>36</v>
      </c>
      <c r="C18" s="27"/>
      <c r="D18" s="28" t="s">
        <v>21</v>
      </c>
      <c r="E18" s="22">
        <v>0.02</v>
      </c>
      <c r="F18" s="19" t="s">
        <v>48</v>
      </c>
    </row>
    <row r="19" spans="1:6" x14ac:dyDescent="0.25">
      <c r="A19" s="27"/>
      <c r="B19" s="26" t="s">
        <v>37</v>
      </c>
      <c r="C19" s="27"/>
      <c r="D19" s="28" t="s">
        <v>21</v>
      </c>
      <c r="E19" s="22">
        <v>0.04</v>
      </c>
      <c r="F19" s="19" t="s">
        <v>49</v>
      </c>
    </row>
    <row r="20" spans="1:6" x14ac:dyDescent="0.25">
      <c r="A20" s="27"/>
      <c r="B20" s="26"/>
      <c r="C20" s="27"/>
      <c r="D20" s="28"/>
    </row>
    <row r="21" spans="1:6" x14ac:dyDescent="0.25">
      <c r="A21" s="25" t="s">
        <v>44</v>
      </c>
      <c r="B21" s="26"/>
      <c r="C21" s="27"/>
      <c r="D21" s="28"/>
    </row>
    <row r="22" spans="1:6" x14ac:dyDescent="0.25">
      <c r="A22" s="27"/>
      <c r="B22" s="26" t="s">
        <v>39</v>
      </c>
      <c r="C22" s="27"/>
      <c r="D22" s="28" t="s">
        <v>12</v>
      </c>
      <c r="E22" s="18">
        <v>-10</v>
      </c>
      <c r="F22" s="19" t="s">
        <v>45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24"/>
  <sheetViews>
    <sheetView tabSelected="1" topLeftCell="A4" workbookViewId="0">
      <selection activeCell="F24" sqref="F24:O24"/>
    </sheetView>
  </sheetViews>
  <sheetFormatPr defaultRowHeight="15" x14ac:dyDescent="0.25"/>
  <cols>
    <col min="2" max="2" width="14.42578125" style="17" bestFit="1" customWidth="1"/>
    <col min="4" max="4" width="9.140625" style="20"/>
    <col min="6" max="6" width="10.5703125" bestFit="1" customWidth="1"/>
    <col min="15" max="15" width="9.5703125" bestFit="1" customWidth="1"/>
    <col min="16" max="16" width="12.85546875" style="19" customWidth="1"/>
  </cols>
  <sheetData>
    <row r="2" spans="1:16" x14ac:dyDescent="0.2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30</v>
      </c>
    </row>
    <row r="6" spans="1:16" x14ac:dyDescent="0.25">
      <c r="B6" s="17" t="s">
        <v>27</v>
      </c>
      <c r="D6" s="20" t="s">
        <v>12</v>
      </c>
      <c r="F6" s="23" cm="1">
        <f t="array" ref="F6:O6">RevDownloads+RevTouring</f>
        <v>700</v>
      </c>
      <c r="G6" s="23">
        <v>650</v>
      </c>
      <c r="H6" s="23">
        <v>604</v>
      </c>
      <c r="I6" s="23">
        <v>561.65</v>
      </c>
      <c r="J6" s="23">
        <v>522.63249999999994</v>
      </c>
      <c r="K6" s="23">
        <v>486.65937499999995</v>
      </c>
      <c r="L6" s="23">
        <v>453.46905624999999</v>
      </c>
      <c r="M6" s="23">
        <v>422.82398843749996</v>
      </c>
      <c r="N6" s="23">
        <v>394.50833551562494</v>
      </c>
      <c r="O6" s="23">
        <v>368.32591058984366</v>
      </c>
      <c r="P6" s="19" t="s">
        <v>31</v>
      </c>
    </row>
    <row r="7" spans="1:16" x14ac:dyDescent="0.2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2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25">
      <c r="B9" s="17" t="s">
        <v>30</v>
      </c>
      <c r="D9" s="20" t="s">
        <v>12</v>
      </c>
      <c r="F9" s="24">
        <f>SUM(F6:F8)</f>
        <v>120</v>
      </c>
      <c r="G9" s="24">
        <f t="shared" ref="G9:O9" si="1">SUM(G6:G8)</f>
        <v>60</v>
      </c>
      <c r="H9" s="24">
        <f t="shared" si="1"/>
        <v>4</v>
      </c>
      <c r="I9" s="24">
        <f t="shared" si="1"/>
        <v>-48.350000000000023</v>
      </c>
      <c r="J9" s="24">
        <f t="shared" si="1"/>
        <v>-97.367500000000064</v>
      </c>
      <c r="K9" s="24">
        <f t="shared" si="1"/>
        <v>-143.34062500000005</v>
      </c>
      <c r="L9" s="24">
        <f t="shared" si="1"/>
        <v>-186.53094375000001</v>
      </c>
      <c r="M9" s="24">
        <f t="shared" si="1"/>
        <v>-227.17601156250004</v>
      </c>
      <c r="N9" s="24">
        <f t="shared" si="1"/>
        <v>-265.49166448437506</v>
      </c>
      <c r="O9" s="24">
        <f t="shared" si="1"/>
        <v>-301.67408941015634</v>
      </c>
      <c r="P9" s="19" t="s">
        <v>34</v>
      </c>
    </row>
    <row r="11" spans="1:16" x14ac:dyDescent="0.25">
      <c r="A11" s="16" t="s">
        <v>38</v>
      </c>
      <c r="F11" s="21"/>
    </row>
    <row r="12" spans="1:16" x14ac:dyDescent="0.25">
      <c r="B12" s="17" t="s">
        <v>39</v>
      </c>
      <c r="D12" s="20" t="s">
        <v>12</v>
      </c>
      <c r="F12" s="33">
        <f>E16</f>
        <v>-10</v>
      </c>
      <c r="G12" s="33">
        <f>F16</f>
        <v>109.6</v>
      </c>
      <c r="H12" s="33">
        <f>G16</f>
        <v>171.79199999999997</v>
      </c>
      <c r="I12" s="33">
        <f t="shared" ref="G12:O12" si="2">H16</f>
        <v>179.22783999999999</v>
      </c>
      <c r="J12" s="33">
        <f t="shared" si="2"/>
        <v>134.46239679999996</v>
      </c>
      <c r="K12" s="33">
        <f t="shared" si="2"/>
        <v>39.784144735999888</v>
      </c>
      <c r="L12" s="33">
        <f t="shared" si="2"/>
        <v>-102.76079736928017</v>
      </c>
      <c r="M12" s="33">
        <f t="shared" si="2"/>
        <v>-293.40217301405141</v>
      </c>
      <c r="N12" s="33">
        <f t="shared" si="2"/>
        <v>-532.31427149711351</v>
      </c>
      <c r="O12" s="33">
        <f t="shared" si="2"/>
        <v>-819.09850684137314</v>
      </c>
      <c r="P12" s="19" t="s">
        <v>51</v>
      </c>
    </row>
    <row r="13" spans="1:16" x14ac:dyDescent="0.25">
      <c r="B13" s="17" t="s">
        <v>41</v>
      </c>
      <c r="D13" s="20" t="s">
        <v>12</v>
      </c>
      <c r="F13" s="33">
        <f>PossitiveInterestReceived</f>
        <v>0</v>
      </c>
      <c r="G13" s="33">
        <f>PossitiveInterestReceived</f>
        <v>2.1919999999999997</v>
      </c>
      <c r="H13" s="33">
        <f>PossitiveInterestReceived</f>
        <v>3.4358399999999993</v>
      </c>
      <c r="I13" s="33">
        <f>PossitiveInterestReceived</f>
        <v>3.5845567999999997</v>
      </c>
      <c r="J13" s="33">
        <f>PossitiveInterestReceived</f>
        <v>2.6892479359999992</v>
      </c>
      <c r="K13" s="33">
        <f>PossitiveInterestReceived</f>
        <v>0.79568289471999776</v>
      </c>
      <c r="L13" s="33">
        <f>PossitiveInterestReceived</f>
        <v>0</v>
      </c>
      <c r="M13" s="33">
        <f>PossitiveInterestReceived</f>
        <v>0</v>
      </c>
      <c r="N13" s="33">
        <f>PossitiveInterestReceived</f>
        <v>0</v>
      </c>
      <c r="O13" s="33">
        <f>PossitiveInterestReceived</f>
        <v>0</v>
      </c>
      <c r="P13" s="19" t="s">
        <v>52</v>
      </c>
    </row>
    <row r="14" spans="1:16" x14ac:dyDescent="0.25">
      <c r="B14" s="17" t="s">
        <v>42</v>
      </c>
      <c r="D14" s="20" t="s">
        <v>12</v>
      </c>
      <c r="F14" s="33">
        <f>NegativeInterestPaid</f>
        <v>-0.4</v>
      </c>
      <c r="G14" s="33">
        <f>NegativeInterestPaid</f>
        <v>0</v>
      </c>
      <c r="H14" s="33">
        <f>NegativeInterestPaid</f>
        <v>0</v>
      </c>
      <c r="I14" s="33">
        <f>NegativeInterestPaid</f>
        <v>0</v>
      </c>
      <c r="J14" s="33">
        <f>NegativeInterestPaid</f>
        <v>0</v>
      </c>
      <c r="K14" s="33">
        <f>NegativeInterestPaid</f>
        <v>0</v>
      </c>
      <c r="L14" s="33">
        <f>NegativeInterestPaid</f>
        <v>-4.1104318947712066</v>
      </c>
      <c r="M14" s="33">
        <f>NegativeInterestPaid</f>
        <v>-11.736086920562057</v>
      </c>
      <c r="N14" s="33">
        <f>NegativeInterestPaid</f>
        <v>-21.292570859884542</v>
      </c>
      <c r="O14" s="33">
        <f>NegativeInterestPaid</f>
        <v>-32.763940273654924</v>
      </c>
      <c r="P14" s="19" t="s">
        <v>53</v>
      </c>
    </row>
    <row r="15" spans="1:16" x14ac:dyDescent="0.25">
      <c r="B15" s="17" t="s">
        <v>40</v>
      </c>
      <c r="D15" s="20" t="s">
        <v>12</v>
      </c>
      <c r="F15" s="33" cm="1">
        <f t="array" ref="F15:O15">NetIncome</f>
        <v>120</v>
      </c>
      <c r="G15" s="33">
        <v>60</v>
      </c>
      <c r="H15" s="33">
        <v>4</v>
      </c>
      <c r="I15" s="33">
        <v>-48.350000000000023</v>
      </c>
      <c r="J15" s="33">
        <v>-97.367500000000064</v>
      </c>
      <c r="K15" s="33">
        <v>-143.34062500000005</v>
      </c>
      <c r="L15" s="33">
        <v>-186.53094375000001</v>
      </c>
      <c r="M15" s="33">
        <v>-227.17601156250004</v>
      </c>
      <c r="N15" s="33">
        <v>-265.49166448437506</v>
      </c>
      <c r="O15" s="33">
        <v>-301.67408941015634</v>
      </c>
      <c r="P15" s="19" t="s">
        <v>54</v>
      </c>
    </row>
    <row r="16" spans="1:16" x14ac:dyDescent="0.25">
      <c r="B16" s="17" t="s">
        <v>43</v>
      </c>
      <c r="D16" s="20" t="s">
        <v>12</v>
      </c>
      <c r="E16" s="33">
        <f>StartBalance</f>
        <v>-10</v>
      </c>
      <c r="F16" s="33">
        <f>SUM(F12:F15)</f>
        <v>109.6</v>
      </c>
      <c r="G16" s="33">
        <f t="shared" ref="G16:O16" si="3">SUM(G12:G15)</f>
        <v>171.79199999999997</v>
      </c>
      <c r="H16" s="33">
        <f t="shared" si="3"/>
        <v>179.22783999999999</v>
      </c>
      <c r="I16" s="33">
        <f t="shared" si="3"/>
        <v>134.46239679999996</v>
      </c>
      <c r="J16" s="33">
        <f t="shared" si="3"/>
        <v>39.784144735999888</v>
      </c>
      <c r="K16" s="33">
        <f t="shared" si="3"/>
        <v>-102.76079736928017</v>
      </c>
      <c r="L16" s="33">
        <f t="shared" si="3"/>
        <v>-293.40217301405141</v>
      </c>
      <c r="M16" s="33">
        <f t="shared" si="3"/>
        <v>-532.31427149711351</v>
      </c>
      <c r="N16" s="33">
        <f t="shared" si="3"/>
        <v>-819.09850684137314</v>
      </c>
      <c r="O16" s="33">
        <f t="shared" si="3"/>
        <v>-1153.5365365251844</v>
      </c>
      <c r="P16" s="19" t="s">
        <v>55</v>
      </c>
    </row>
    <row r="18" spans="1:16" x14ac:dyDescent="0.25">
      <c r="A18" s="16" t="s">
        <v>41</v>
      </c>
    </row>
    <row r="19" spans="1:16" x14ac:dyDescent="0.25">
      <c r="B19" s="17" t="s">
        <v>46</v>
      </c>
      <c r="D19" s="20" t="s">
        <v>12</v>
      </c>
      <c r="F19" s="33">
        <f>MAX(+CashBroughtForward,0)</f>
        <v>0</v>
      </c>
      <c r="G19" s="33">
        <f>MAX(+CashBroughtForward,0)</f>
        <v>109.6</v>
      </c>
      <c r="H19" s="33">
        <f>MAX(+CashBroughtForward,0)</f>
        <v>171.79199999999997</v>
      </c>
      <c r="I19" s="33">
        <f>MAX(+CashBroughtForward,0)</f>
        <v>179.22783999999999</v>
      </c>
      <c r="J19" s="33">
        <f>MAX(+CashBroughtForward,0)</f>
        <v>134.46239679999996</v>
      </c>
      <c r="K19" s="33">
        <f>MAX(+CashBroughtForward,0)</f>
        <v>39.784144735999888</v>
      </c>
      <c r="L19" s="33">
        <f>MAX(+CashBroughtForward,0)</f>
        <v>0</v>
      </c>
      <c r="M19" s="33">
        <f>MAX(+CashBroughtForward,0)</f>
        <v>0</v>
      </c>
      <c r="N19" s="33">
        <f>MAX(+CashBroughtForward,0)</f>
        <v>0</v>
      </c>
      <c r="O19" s="33">
        <f>MAX(+CashBroughtForward,0)</f>
        <v>0</v>
      </c>
      <c r="P19" s="19" t="s">
        <v>56</v>
      </c>
    </row>
    <row r="20" spans="1:16" x14ac:dyDescent="0.25">
      <c r="B20" s="17" t="s">
        <v>41</v>
      </c>
      <c r="D20" s="20" t="s">
        <v>12</v>
      </c>
      <c r="F20" s="33">
        <f>PossitiveCashBalance*PostiveInterestRate</f>
        <v>0</v>
      </c>
      <c r="G20" s="33">
        <f>PossitiveCashBalance*PostiveInterestRate</f>
        <v>2.1919999999999997</v>
      </c>
      <c r="H20" s="33">
        <f>PossitiveCashBalance*PostiveInterestRate</f>
        <v>3.4358399999999993</v>
      </c>
      <c r="I20" s="33">
        <f>PossitiveCashBalance*PostiveInterestRate</f>
        <v>3.5845567999999997</v>
      </c>
      <c r="J20" s="33">
        <f>PossitiveCashBalance*PostiveInterestRate</f>
        <v>2.6892479359999992</v>
      </c>
      <c r="K20" s="33">
        <f>PossitiveCashBalance*PostiveInterestRate</f>
        <v>0.79568289471999776</v>
      </c>
      <c r="L20" s="33">
        <f>PossitiveCashBalance*PostiveInterestRate</f>
        <v>0</v>
      </c>
      <c r="M20" s="33">
        <f>PossitiveCashBalance*PostiveInterestRate</f>
        <v>0</v>
      </c>
      <c r="N20" s="33">
        <f>PossitiveCashBalance*PostiveInterestRate</f>
        <v>0</v>
      </c>
      <c r="O20" s="33">
        <f>PossitiveCashBalance*PostiveInterestRate</f>
        <v>0</v>
      </c>
      <c r="P20" s="19" t="s">
        <v>57</v>
      </c>
    </row>
    <row r="22" spans="1:16" x14ac:dyDescent="0.25">
      <c r="A22" s="29" t="s">
        <v>42</v>
      </c>
    </row>
    <row r="23" spans="1:16" x14ac:dyDescent="0.25">
      <c r="B23" s="17" t="s">
        <v>47</v>
      </c>
      <c r="D23" s="20" t="s">
        <v>12</v>
      </c>
      <c r="F23" s="33">
        <f>MIN(+CashBroughtForward,0)</f>
        <v>-10</v>
      </c>
      <c r="G23" s="33">
        <f>MIN(+CashBroughtForward,0)</f>
        <v>0</v>
      </c>
      <c r="H23" s="33">
        <f>MIN(+CashBroughtForward,0)</f>
        <v>0</v>
      </c>
      <c r="I23" s="33">
        <f>MIN(+CashBroughtForward,0)</f>
        <v>0</v>
      </c>
      <c r="J23" s="33">
        <f>MIN(+CashBroughtForward,0)</f>
        <v>0</v>
      </c>
      <c r="K23" s="33">
        <f>MIN(+CashBroughtForward,0)</f>
        <v>0</v>
      </c>
      <c r="L23" s="33">
        <f>MIN(+CashBroughtForward,0)</f>
        <v>-102.76079736928017</v>
      </c>
      <c r="M23" s="33">
        <f>MIN(+CashBroughtForward,0)</f>
        <v>-293.40217301405141</v>
      </c>
      <c r="N23" s="33">
        <f>MIN(+CashBroughtForward,0)</f>
        <v>-532.31427149711351</v>
      </c>
      <c r="O23" s="33">
        <f>MIN(+CashBroughtForward,0)</f>
        <v>-819.09850684137314</v>
      </c>
      <c r="P23" s="19" t="s">
        <v>58</v>
      </c>
    </row>
    <row r="24" spans="1:16" x14ac:dyDescent="0.25">
      <c r="B24" s="17" t="s">
        <v>42</v>
      </c>
      <c r="D24" s="20" t="s">
        <v>12</v>
      </c>
      <c r="F24" s="33">
        <f>NegativeCashBalance*NegativeInterestRate</f>
        <v>-0.4</v>
      </c>
      <c r="G24" s="33">
        <f>NegativeCashBalance*NegativeInterestRate</f>
        <v>0</v>
      </c>
      <c r="H24" s="33">
        <f>NegativeCashBalance*NegativeInterestRate</f>
        <v>0</v>
      </c>
      <c r="I24" s="33">
        <f>NegativeCashBalance*NegativeInterestRate</f>
        <v>0</v>
      </c>
      <c r="J24" s="33">
        <f>NegativeCashBalance*NegativeInterestRate</f>
        <v>0</v>
      </c>
      <c r="K24" s="33">
        <f>NegativeCashBalance*NegativeInterestRate</f>
        <v>0</v>
      </c>
      <c r="L24" s="33">
        <f>NegativeCashBalance*NegativeInterestRate</f>
        <v>-4.1104318947712066</v>
      </c>
      <c r="M24" s="33">
        <f>NegativeCashBalance*NegativeInterestRate</f>
        <v>-11.736086920562057</v>
      </c>
      <c r="N24" s="33">
        <f>NegativeCashBalance*NegativeInterestRate</f>
        <v>-21.292570859884542</v>
      </c>
      <c r="O24" s="33">
        <f>NegativeCashBalance*NegativeInterestRate</f>
        <v>-32.763940273654924</v>
      </c>
      <c r="P24" s="19" t="s">
        <v>59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25</vt:i4>
      </vt:variant>
    </vt:vector>
  </HeadingPairs>
  <TitlesOfParts>
    <vt:vector size="28" baseType="lpstr">
      <vt:lpstr>Cover</vt:lpstr>
      <vt:lpstr>Inputs</vt:lpstr>
      <vt:lpstr>Calculations</vt:lpstr>
      <vt:lpstr>CashBroughtForward</vt:lpstr>
      <vt:lpstr>cashCarriedForward</vt:lpstr>
      <vt:lpstr>CashInDuringMonth</vt:lpstr>
      <vt:lpstr>CashInterestPaid</vt:lpstr>
      <vt:lpstr>CashInterestReceived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NegativeCashBalance</vt:lpstr>
      <vt:lpstr>NegativeInterestPaid</vt:lpstr>
      <vt:lpstr>NegativeInterestRate</vt:lpstr>
      <vt:lpstr>NetCstHousing</vt:lpstr>
      <vt:lpstr>NetCstLiving</vt:lpstr>
      <vt:lpstr>NetIncome</vt:lpstr>
      <vt:lpstr>NetRev</vt:lpstr>
      <vt:lpstr>PossitiveCashBalance</vt:lpstr>
      <vt:lpstr>PossitiveInterestReceived</vt:lpstr>
      <vt:lpstr>PostiveInterestRate</vt:lpstr>
      <vt:lpstr>RevDownloads</vt:lpstr>
      <vt:lpstr>RevTouring</vt:lpstr>
      <vt:lpstr>StartBalance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2026-10-19T01:25:03Z</dcterms:modified>
</cp:coreProperties>
</file>